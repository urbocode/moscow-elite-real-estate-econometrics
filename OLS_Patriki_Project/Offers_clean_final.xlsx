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arturfedotov/Downloads/"/>
    </mc:Choice>
  </mc:AlternateContent>
  <xr:revisionPtr revIDLastSave="0" documentId="13_ncr:1_{BF13D17A-9BD8-2749-99AA-30F3E9AB097E}" xr6:coauthVersionLast="47" xr6:coauthVersionMax="47" xr10:uidLastSave="{00000000-0000-0000-0000-000000000000}"/>
  <bookViews>
    <workbookView xWindow="0" yWindow="740" windowWidth="29400" windowHeight="18380" tabRatio="500" xr2:uid="{00000000-000D-0000-FFFF-FFFF00000000}"/>
  </bookViews>
  <sheets>
    <sheet name="Offers_clean" sheetId="1" r:id="rId1"/>
    <sheet name="Legend_индексация" sheetId="2" r:id="rId2"/>
    <sheet name="Column_dictionary" sheetId="3" r:id="rId3"/>
    <sheet name="Removed_row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423" i="1" l="1"/>
  <c r="H423" i="1"/>
  <c r="L422" i="1"/>
  <c r="H422" i="1"/>
  <c r="L421" i="1"/>
  <c r="H421" i="1"/>
  <c r="L420" i="1"/>
  <c r="H420" i="1"/>
  <c r="L419" i="1"/>
  <c r="H419" i="1"/>
  <c r="L418" i="1"/>
  <c r="H418" i="1"/>
  <c r="L417" i="1"/>
  <c r="H417" i="1"/>
  <c r="L416" i="1"/>
  <c r="H416" i="1"/>
  <c r="L415" i="1"/>
  <c r="H415" i="1"/>
  <c r="L414" i="1"/>
  <c r="H414" i="1"/>
  <c r="L413" i="1"/>
  <c r="H413" i="1"/>
  <c r="L412" i="1"/>
  <c r="H412" i="1"/>
  <c r="L411" i="1"/>
  <c r="H411" i="1"/>
  <c r="L410" i="1"/>
  <c r="H410" i="1"/>
  <c r="L409" i="1"/>
  <c r="H409" i="1"/>
  <c r="L408" i="1"/>
  <c r="H408" i="1"/>
  <c r="L407" i="1"/>
  <c r="H407" i="1"/>
  <c r="L406" i="1"/>
  <c r="H406" i="1"/>
  <c r="L405" i="1"/>
  <c r="H405" i="1"/>
  <c r="L404" i="1"/>
  <c r="H404" i="1"/>
  <c r="L403" i="1"/>
  <c r="H403" i="1"/>
  <c r="L402" i="1"/>
  <c r="H402" i="1"/>
  <c r="L401" i="1"/>
  <c r="H401" i="1"/>
  <c r="L400" i="1"/>
  <c r="H400" i="1"/>
  <c r="L399" i="1"/>
  <c r="H399" i="1"/>
  <c r="L398" i="1"/>
  <c r="H398" i="1"/>
  <c r="L397" i="1"/>
  <c r="H397" i="1"/>
  <c r="L396" i="1"/>
  <c r="H396" i="1"/>
  <c r="L395" i="1"/>
  <c r="H395" i="1"/>
  <c r="L394" i="1"/>
  <c r="H394" i="1"/>
  <c r="L393" i="1"/>
  <c r="H393" i="1"/>
  <c r="L392" i="1"/>
  <c r="H392" i="1"/>
  <c r="L391" i="1"/>
  <c r="H391" i="1"/>
  <c r="L390" i="1"/>
  <c r="H390" i="1"/>
  <c r="L389" i="1"/>
  <c r="H389" i="1"/>
  <c r="L388" i="1"/>
  <c r="H388" i="1"/>
  <c r="L387" i="1"/>
  <c r="H387" i="1"/>
  <c r="L386" i="1"/>
  <c r="H386" i="1"/>
  <c r="L385" i="1"/>
  <c r="H385" i="1"/>
  <c r="L384" i="1"/>
  <c r="H384" i="1"/>
  <c r="L383" i="1"/>
  <c r="H383" i="1"/>
  <c r="L382" i="1"/>
  <c r="H382" i="1"/>
  <c r="L381" i="1"/>
  <c r="H381" i="1"/>
  <c r="L380" i="1"/>
  <c r="H380" i="1"/>
  <c r="L379" i="1"/>
  <c r="H379" i="1"/>
  <c r="L378" i="1"/>
  <c r="H378" i="1"/>
  <c r="L377" i="1"/>
  <c r="H377" i="1"/>
  <c r="L376" i="1"/>
  <c r="H376" i="1"/>
  <c r="L375" i="1"/>
  <c r="H375" i="1"/>
  <c r="L374" i="1"/>
  <c r="H374" i="1"/>
  <c r="L373" i="1"/>
  <c r="H373" i="1"/>
  <c r="L372" i="1"/>
  <c r="H372" i="1"/>
  <c r="L371" i="1"/>
  <c r="H371" i="1"/>
  <c r="L370" i="1"/>
  <c r="H370" i="1"/>
  <c r="L369" i="1"/>
  <c r="H369" i="1"/>
  <c r="L368" i="1"/>
  <c r="H368" i="1"/>
  <c r="L367" i="1"/>
  <c r="H367" i="1"/>
  <c r="L366" i="1"/>
  <c r="H366" i="1"/>
  <c r="L365" i="1"/>
  <c r="H365" i="1"/>
  <c r="L364" i="1"/>
  <c r="H364" i="1"/>
  <c r="L363" i="1"/>
  <c r="H363" i="1"/>
  <c r="L362" i="1"/>
  <c r="H362" i="1"/>
  <c r="L361" i="1"/>
  <c r="H361" i="1"/>
  <c r="L360" i="1"/>
  <c r="H360" i="1"/>
  <c r="L359" i="1"/>
  <c r="H359" i="1"/>
  <c r="L358" i="1"/>
  <c r="H358" i="1"/>
  <c r="L357" i="1"/>
  <c r="H357" i="1"/>
  <c r="L356" i="1"/>
  <c r="H356" i="1"/>
  <c r="L355" i="1"/>
  <c r="H355" i="1"/>
  <c r="L354" i="1"/>
  <c r="H354" i="1"/>
  <c r="L353" i="1"/>
  <c r="H353" i="1"/>
  <c r="L352" i="1"/>
  <c r="H352" i="1"/>
  <c r="L351" i="1"/>
  <c r="H351" i="1"/>
  <c r="L350" i="1"/>
  <c r="H350" i="1"/>
  <c r="L349" i="1"/>
  <c r="H349" i="1"/>
  <c r="L348" i="1"/>
  <c r="H348" i="1"/>
  <c r="L347" i="1"/>
  <c r="H347" i="1"/>
  <c r="L346" i="1"/>
  <c r="H346" i="1"/>
  <c r="L345" i="1"/>
  <c r="H345" i="1"/>
  <c r="L344" i="1"/>
  <c r="H344" i="1"/>
  <c r="L343" i="1"/>
  <c r="H343" i="1"/>
  <c r="L342" i="1"/>
  <c r="H342" i="1"/>
  <c r="L341" i="1"/>
  <c r="H341" i="1"/>
  <c r="L340" i="1"/>
  <c r="H340" i="1"/>
  <c r="L339" i="1"/>
  <c r="H339" i="1"/>
  <c r="L338" i="1"/>
  <c r="H338" i="1"/>
  <c r="L337" i="1"/>
  <c r="H337" i="1"/>
  <c r="L336" i="1"/>
  <c r="H336" i="1"/>
  <c r="L335" i="1"/>
  <c r="H335" i="1"/>
  <c r="L334" i="1"/>
  <c r="H334" i="1"/>
  <c r="L333" i="1"/>
  <c r="H333" i="1"/>
  <c r="L332" i="1"/>
  <c r="H332" i="1"/>
  <c r="L331" i="1"/>
  <c r="H331" i="1"/>
  <c r="L330" i="1"/>
  <c r="H330" i="1"/>
  <c r="L329" i="1"/>
  <c r="H329" i="1"/>
  <c r="L328" i="1"/>
  <c r="H328" i="1"/>
  <c r="L327" i="1"/>
  <c r="H327" i="1"/>
  <c r="L326" i="1"/>
  <c r="H326" i="1"/>
  <c r="L325" i="1"/>
  <c r="H325" i="1"/>
  <c r="L324" i="1"/>
  <c r="H324" i="1"/>
  <c r="L323" i="1"/>
  <c r="H323" i="1"/>
  <c r="L322" i="1"/>
  <c r="H322" i="1"/>
  <c r="L321" i="1"/>
  <c r="H321" i="1"/>
  <c r="L320" i="1"/>
  <c r="H320" i="1"/>
  <c r="L319" i="1"/>
  <c r="H319" i="1"/>
  <c r="L318" i="1"/>
  <c r="H318" i="1"/>
  <c r="L317" i="1"/>
  <c r="H317" i="1"/>
  <c r="L316" i="1"/>
  <c r="H316" i="1"/>
  <c r="L315" i="1"/>
  <c r="H315" i="1"/>
  <c r="L314" i="1"/>
  <c r="H314" i="1"/>
  <c r="L313" i="1"/>
  <c r="H313" i="1"/>
  <c r="L312" i="1"/>
  <c r="H312" i="1"/>
  <c r="L311" i="1"/>
  <c r="H311" i="1"/>
  <c r="L310" i="1"/>
  <c r="H310" i="1"/>
  <c r="L309" i="1"/>
  <c r="H309" i="1"/>
  <c r="L308" i="1"/>
  <c r="H308" i="1"/>
  <c r="L307" i="1"/>
  <c r="H307" i="1"/>
  <c r="L306" i="1"/>
  <c r="H306" i="1"/>
  <c r="L305" i="1"/>
  <c r="H305" i="1"/>
  <c r="L304" i="1"/>
  <c r="H304" i="1"/>
  <c r="L303" i="1"/>
  <c r="H303" i="1"/>
  <c r="L302" i="1"/>
  <c r="H302" i="1"/>
  <c r="L301" i="1"/>
  <c r="H301" i="1"/>
  <c r="L300" i="1"/>
  <c r="H300" i="1"/>
  <c r="L299" i="1"/>
  <c r="H299" i="1"/>
  <c r="L298" i="1"/>
  <c r="H298" i="1"/>
  <c r="L297" i="1"/>
  <c r="H297" i="1"/>
  <c r="L296" i="1"/>
  <c r="H296" i="1"/>
  <c r="L295" i="1"/>
  <c r="H295" i="1"/>
  <c r="L294" i="1"/>
  <c r="H294" i="1"/>
  <c r="L293" i="1"/>
  <c r="H293" i="1"/>
  <c r="L292" i="1"/>
  <c r="H292" i="1"/>
  <c r="L291" i="1"/>
  <c r="H291" i="1"/>
  <c r="L290" i="1"/>
  <c r="H290" i="1"/>
  <c r="L289" i="1"/>
  <c r="H289" i="1"/>
  <c r="L288" i="1"/>
  <c r="H288" i="1"/>
  <c r="L287" i="1"/>
  <c r="H287" i="1"/>
  <c r="L286" i="1"/>
  <c r="H286" i="1"/>
  <c r="L285" i="1"/>
  <c r="H285" i="1"/>
  <c r="L284" i="1"/>
  <c r="H284" i="1"/>
  <c r="L283" i="1"/>
  <c r="H283" i="1"/>
  <c r="L282" i="1"/>
  <c r="H282" i="1"/>
  <c r="L281" i="1"/>
  <c r="H281" i="1"/>
  <c r="L280" i="1"/>
  <c r="H280" i="1"/>
  <c r="L279" i="1"/>
  <c r="H279" i="1"/>
  <c r="L278" i="1"/>
  <c r="H278" i="1"/>
  <c r="L277" i="1"/>
  <c r="H277" i="1"/>
  <c r="L276" i="1"/>
  <c r="H276" i="1"/>
  <c r="L275" i="1"/>
  <c r="H275" i="1"/>
  <c r="L274" i="1"/>
  <c r="H274" i="1"/>
  <c r="L273" i="1"/>
  <c r="H273" i="1"/>
  <c r="L272" i="1"/>
  <c r="H272" i="1"/>
  <c r="L271" i="1"/>
  <c r="H271" i="1"/>
  <c r="L270" i="1"/>
  <c r="H270" i="1"/>
  <c r="L269" i="1"/>
  <c r="H269" i="1"/>
  <c r="L268" i="1"/>
  <c r="H268" i="1"/>
  <c r="L267" i="1"/>
  <c r="H267" i="1"/>
  <c r="L266" i="1"/>
  <c r="H266" i="1"/>
  <c r="L265" i="1"/>
  <c r="H265" i="1"/>
  <c r="L264" i="1"/>
  <c r="H264" i="1"/>
  <c r="L263" i="1"/>
  <c r="H263" i="1"/>
  <c r="L262" i="1"/>
  <c r="H262" i="1"/>
  <c r="L261" i="1"/>
  <c r="H261" i="1"/>
  <c r="L260" i="1"/>
  <c r="H260" i="1"/>
  <c r="L259" i="1"/>
  <c r="H259" i="1"/>
  <c r="L258" i="1"/>
  <c r="H258" i="1"/>
  <c r="L257" i="1"/>
  <c r="H257" i="1"/>
  <c r="L256" i="1"/>
  <c r="H256" i="1"/>
  <c r="L255" i="1"/>
  <c r="H255" i="1"/>
  <c r="L254" i="1"/>
  <c r="H254" i="1"/>
  <c r="L253" i="1"/>
  <c r="H253" i="1"/>
  <c r="L252" i="1"/>
  <c r="H252" i="1"/>
  <c r="L251" i="1"/>
  <c r="H251" i="1"/>
  <c r="L250" i="1"/>
  <c r="H250" i="1"/>
  <c r="L249" i="1"/>
  <c r="H249" i="1"/>
  <c r="L248" i="1"/>
  <c r="H248" i="1"/>
  <c r="L247" i="1"/>
  <c r="H247" i="1"/>
  <c r="L246" i="1"/>
  <c r="H246" i="1"/>
  <c r="L245" i="1"/>
  <c r="H245" i="1"/>
  <c r="L244" i="1"/>
  <c r="H244" i="1"/>
  <c r="L243" i="1"/>
  <c r="H243" i="1"/>
  <c r="L242" i="1"/>
  <c r="H242" i="1"/>
  <c r="L241" i="1"/>
  <c r="H241" i="1"/>
  <c r="L240" i="1"/>
  <c r="H240" i="1"/>
  <c r="L239" i="1"/>
  <c r="H239" i="1"/>
  <c r="L238" i="1"/>
  <c r="H238" i="1"/>
  <c r="L237" i="1"/>
  <c r="H237" i="1"/>
  <c r="L236" i="1"/>
  <c r="H236" i="1"/>
  <c r="L235" i="1"/>
  <c r="H235" i="1"/>
  <c r="L234" i="1"/>
  <c r="H234" i="1"/>
  <c r="L233" i="1"/>
  <c r="H233" i="1"/>
  <c r="L232" i="1"/>
  <c r="H232" i="1"/>
  <c r="L231" i="1"/>
  <c r="H231" i="1"/>
  <c r="L230" i="1"/>
  <c r="H230" i="1"/>
  <c r="L229" i="1"/>
  <c r="H229" i="1"/>
  <c r="L228" i="1"/>
  <c r="H228" i="1"/>
  <c r="L227" i="1"/>
  <c r="H227" i="1"/>
  <c r="L226" i="1"/>
  <c r="H226" i="1"/>
  <c r="L225" i="1"/>
  <c r="H225" i="1"/>
  <c r="L224" i="1"/>
  <c r="H224" i="1"/>
  <c r="L223" i="1"/>
  <c r="H223" i="1"/>
  <c r="L222" i="1"/>
  <c r="H222" i="1"/>
  <c r="L221" i="1"/>
  <c r="H221" i="1"/>
  <c r="L220" i="1"/>
  <c r="H220" i="1"/>
  <c r="L219" i="1"/>
  <c r="H219" i="1"/>
  <c r="L218" i="1"/>
  <c r="H218" i="1"/>
  <c r="L217" i="1"/>
  <c r="H217" i="1"/>
  <c r="L216" i="1"/>
  <c r="H216" i="1"/>
  <c r="L215" i="1"/>
  <c r="H215" i="1"/>
  <c r="L214" i="1"/>
  <c r="H214" i="1"/>
  <c r="L213" i="1"/>
  <c r="H213" i="1"/>
  <c r="L212" i="1"/>
  <c r="H212" i="1"/>
  <c r="L211" i="1"/>
  <c r="H211" i="1"/>
  <c r="L210" i="1"/>
  <c r="H210" i="1"/>
  <c r="L209" i="1"/>
  <c r="H209" i="1"/>
  <c r="L208" i="1"/>
  <c r="H208" i="1"/>
  <c r="L207" i="1"/>
  <c r="H207" i="1"/>
  <c r="L206" i="1"/>
  <c r="H206" i="1"/>
  <c r="L205" i="1"/>
  <c r="H205" i="1"/>
  <c r="L204" i="1"/>
  <c r="H204" i="1"/>
  <c r="L203" i="1"/>
  <c r="H203" i="1"/>
  <c r="L202" i="1"/>
  <c r="H202" i="1"/>
  <c r="L201" i="1"/>
  <c r="H201" i="1"/>
  <c r="L200" i="1"/>
  <c r="H200" i="1"/>
  <c r="L199" i="1"/>
  <c r="H199" i="1"/>
  <c r="L198" i="1"/>
  <c r="H198" i="1"/>
  <c r="L197" i="1"/>
  <c r="H197" i="1"/>
  <c r="L196" i="1"/>
  <c r="H196" i="1"/>
  <c r="L195" i="1"/>
  <c r="H195" i="1"/>
  <c r="L194" i="1"/>
  <c r="H194" i="1"/>
  <c r="L193" i="1"/>
  <c r="H193" i="1"/>
  <c r="L192" i="1"/>
  <c r="H192" i="1"/>
  <c r="L191" i="1"/>
  <c r="H191" i="1"/>
  <c r="L190" i="1"/>
  <c r="H190" i="1"/>
  <c r="L189" i="1"/>
  <c r="H189" i="1"/>
  <c r="L188" i="1"/>
  <c r="H188" i="1"/>
  <c r="L187" i="1"/>
  <c r="H187" i="1"/>
  <c r="L186" i="1"/>
  <c r="H186" i="1"/>
  <c r="L185" i="1"/>
  <c r="H185" i="1"/>
  <c r="L184" i="1"/>
  <c r="H184" i="1"/>
  <c r="L183" i="1"/>
  <c r="H183" i="1"/>
  <c r="L182" i="1"/>
  <c r="H182" i="1"/>
  <c r="L181" i="1"/>
  <c r="H181" i="1"/>
  <c r="L180" i="1"/>
  <c r="H180" i="1"/>
  <c r="L179" i="1"/>
  <c r="H179" i="1"/>
  <c r="L178" i="1"/>
  <c r="H178" i="1"/>
  <c r="L177" i="1"/>
  <c r="H177" i="1"/>
  <c r="L176" i="1"/>
  <c r="H176" i="1"/>
  <c r="L175" i="1"/>
  <c r="H175" i="1"/>
  <c r="L174" i="1"/>
  <c r="H174" i="1"/>
  <c r="L173" i="1"/>
  <c r="H173" i="1"/>
  <c r="L172" i="1"/>
  <c r="H172" i="1"/>
  <c r="L171" i="1"/>
  <c r="H171" i="1"/>
  <c r="L170" i="1"/>
  <c r="H170" i="1"/>
  <c r="L169" i="1"/>
  <c r="H169" i="1"/>
  <c r="L168" i="1"/>
  <c r="H168" i="1"/>
  <c r="L167" i="1"/>
  <c r="H167" i="1"/>
  <c r="L166" i="1"/>
  <c r="H166" i="1"/>
  <c r="L165" i="1"/>
  <c r="H165" i="1"/>
  <c r="L164" i="1"/>
  <c r="H164" i="1"/>
  <c r="L163" i="1"/>
  <c r="H163" i="1"/>
  <c r="L162" i="1"/>
  <c r="H162" i="1"/>
  <c r="L161" i="1"/>
  <c r="H161" i="1"/>
  <c r="L160" i="1"/>
  <c r="H160" i="1"/>
  <c r="L159" i="1"/>
  <c r="H159" i="1"/>
  <c r="L158" i="1"/>
  <c r="H158" i="1"/>
  <c r="L157" i="1"/>
  <c r="H157" i="1"/>
  <c r="L156" i="1"/>
  <c r="H156" i="1"/>
  <c r="L155" i="1"/>
  <c r="H155" i="1"/>
  <c r="L154" i="1"/>
  <c r="H154" i="1"/>
  <c r="L153" i="1"/>
  <c r="H153" i="1"/>
  <c r="L152" i="1"/>
  <c r="H152" i="1"/>
  <c r="L151" i="1"/>
  <c r="H151" i="1"/>
  <c r="L150" i="1"/>
  <c r="H150" i="1"/>
  <c r="L149" i="1"/>
  <c r="H149" i="1"/>
  <c r="L148" i="1"/>
  <c r="H148" i="1"/>
  <c r="L147" i="1"/>
  <c r="H147" i="1"/>
  <c r="L146" i="1"/>
  <c r="H146" i="1"/>
  <c r="L145" i="1"/>
  <c r="H145" i="1"/>
  <c r="L144" i="1"/>
  <c r="H144" i="1"/>
  <c r="L143" i="1"/>
  <c r="H143" i="1"/>
  <c r="L142" i="1"/>
  <c r="H142" i="1"/>
  <c r="L141" i="1"/>
  <c r="H141" i="1"/>
  <c r="L140" i="1"/>
  <c r="H140" i="1"/>
  <c r="L139" i="1"/>
  <c r="H139" i="1"/>
  <c r="L138" i="1"/>
  <c r="H138" i="1"/>
  <c r="L137" i="1"/>
  <c r="H137" i="1"/>
  <c r="L136" i="1"/>
  <c r="H136" i="1"/>
  <c r="L135" i="1"/>
  <c r="H135" i="1"/>
  <c r="L134" i="1"/>
  <c r="H134" i="1"/>
  <c r="L133" i="1"/>
  <c r="H133" i="1"/>
  <c r="L132" i="1"/>
  <c r="H132" i="1"/>
  <c r="L131" i="1"/>
  <c r="H131" i="1"/>
  <c r="L130" i="1"/>
  <c r="H130" i="1"/>
  <c r="L129" i="1"/>
  <c r="H129" i="1"/>
  <c r="L128" i="1"/>
  <c r="H128" i="1"/>
  <c r="L127" i="1"/>
  <c r="H127" i="1"/>
  <c r="L126" i="1"/>
  <c r="H126" i="1"/>
  <c r="L125" i="1"/>
  <c r="H125" i="1"/>
  <c r="L124" i="1"/>
  <c r="H124" i="1"/>
  <c r="L123" i="1"/>
  <c r="H123" i="1"/>
  <c r="L122" i="1"/>
  <c r="H122" i="1"/>
  <c r="L121" i="1"/>
  <c r="H121" i="1"/>
  <c r="L120" i="1"/>
  <c r="H120" i="1"/>
  <c r="L119" i="1"/>
  <c r="H119" i="1"/>
  <c r="L118" i="1"/>
  <c r="H118" i="1"/>
  <c r="L117" i="1"/>
  <c r="H117" i="1"/>
  <c r="L116" i="1"/>
  <c r="H116" i="1"/>
  <c r="L115" i="1"/>
  <c r="H115" i="1"/>
  <c r="L114" i="1"/>
  <c r="H114" i="1"/>
  <c r="L113" i="1"/>
  <c r="H113" i="1"/>
  <c r="L112" i="1"/>
  <c r="H112" i="1"/>
  <c r="L111" i="1"/>
  <c r="H111" i="1"/>
  <c r="L110" i="1"/>
  <c r="H110" i="1"/>
  <c r="L109" i="1"/>
  <c r="H109" i="1"/>
  <c r="L108" i="1"/>
  <c r="H108" i="1"/>
  <c r="L107" i="1"/>
  <c r="H107" i="1"/>
  <c r="L106" i="1"/>
  <c r="H106" i="1"/>
  <c r="L105" i="1"/>
  <c r="H105" i="1"/>
  <c r="L104" i="1"/>
  <c r="H104" i="1"/>
  <c r="L103" i="1"/>
  <c r="H103" i="1"/>
  <c r="L102" i="1"/>
  <c r="H102" i="1"/>
  <c r="L101" i="1"/>
  <c r="H101" i="1"/>
  <c r="L100" i="1"/>
  <c r="H100" i="1"/>
  <c r="L99" i="1"/>
  <c r="H99" i="1"/>
  <c r="L98" i="1"/>
  <c r="H98" i="1"/>
  <c r="L97" i="1"/>
  <c r="H97" i="1"/>
  <c r="L96" i="1"/>
  <c r="H96" i="1"/>
  <c r="L95" i="1"/>
  <c r="H95" i="1"/>
  <c r="L94" i="1"/>
  <c r="H94" i="1"/>
  <c r="L93" i="1"/>
  <c r="H93" i="1"/>
  <c r="L92" i="1"/>
  <c r="H92" i="1"/>
  <c r="L91" i="1"/>
  <c r="H91" i="1"/>
  <c r="L90" i="1"/>
  <c r="H90" i="1"/>
  <c r="L89" i="1"/>
  <c r="H89" i="1"/>
  <c r="L88" i="1"/>
  <c r="H88" i="1"/>
  <c r="L87" i="1"/>
  <c r="H87" i="1"/>
  <c r="L86" i="1"/>
  <c r="H86" i="1"/>
  <c r="L85" i="1"/>
  <c r="H85" i="1"/>
  <c r="L84" i="1"/>
  <c r="H84" i="1"/>
  <c r="L83" i="1"/>
  <c r="H83" i="1"/>
  <c r="L82" i="1"/>
  <c r="H82" i="1"/>
  <c r="L81" i="1"/>
  <c r="H81" i="1"/>
  <c r="L80" i="1"/>
  <c r="H80" i="1"/>
  <c r="L79" i="1"/>
  <c r="H79" i="1"/>
  <c r="L78" i="1"/>
  <c r="H78" i="1"/>
  <c r="L77" i="1"/>
  <c r="H77" i="1"/>
  <c r="L76" i="1"/>
  <c r="H76" i="1"/>
  <c r="L75" i="1"/>
  <c r="H75" i="1"/>
  <c r="L74" i="1"/>
  <c r="H74" i="1"/>
  <c r="L73" i="1"/>
  <c r="H73" i="1"/>
  <c r="L72" i="1"/>
  <c r="H72" i="1"/>
  <c r="L71" i="1"/>
  <c r="H71" i="1"/>
  <c r="L70" i="1"/>
  <c r="H70" i="1"/>
  <c r="L69" i="1"/>
  <c r="H69" i="1"/>
  <c r="L68" i="1"/>
  <c r="H68" i="1"/>
  <c r="L67" i="1"/>
  <c r="H67" i="1"/>
  <c r="L66" i="1"/>
  <c r="H66" i="1"/>
  <c r="L65" i="1"/>
  <c r="H65" i="1"/>
  <c r="L64" i="1"/>
  <c r="H64" i="1"/>
  <c r="L63" i="1"/>
  <c r="H63" i="1"/>
  <c r="L62" i="1"/>
  <c r="H62" i="1"/>
  <c r="L61" i="1"/>
  <c r="H61" i="1"/>
  <c r="L60" i="1"/>
  <c r="H60" i="1"/>
  <c r="L59" i="1"/>
  <c r="H59" i="1"/>
  <c r="L58" i="1"/>
  <c r="H58" i="1"/>
  <c r="L57" i="1"/>
  <c r="H57" i="1"/>
  <c r="L56" i="1"/>
  <c r="H56" i="1"/>
  <c r="L55" i="1"/>
  <c r="H55" i="1"/>
  <c r="L54" i="1"/>
  <c r="H54" i="1"/>
  <c r="L53" i="1"/>
  <c r="H53" i="1"/>
  <c r="L52" i="1"/>
  <c r="H52" i="1"/>
  <c r="L51" i="1"/>
  <c r="H51" i="1"/>
  <c r="L50" i="1"/>
  <c r="H50" i="1"/>
  <c r="L49" i="1"/>
  <c r="H49" i="1"/>
  <c r="L48" i="1"/>
  <c r="H48" i="1"/>
  <c r="L47" i="1"/>
  <c r="H47" i="1"/>
  <c r="L46" i="1"/>
  <c r="H46" i="1"/>
  <c r="L45" i="1"/>
  <c r="H45" i="1"/>
  <c r="L44" i="1"/>
  <c r="H44" i="1"/>
  <c r="L43" i="1"/>
  <c r="H43" i="1"/>
  <c r="L42" i="1"/>
  <c r="H42" i="1"/>
  <c r="L41" i="1"/>
  <c r="H41" i="1"/>
  <c r="L40" i="1"/>
  <c r="H40" i="1"/>
  <c r="L39" i="1"/>
  <c r="H39" i="1"/>
  <c r="L38" i="1"/>
  <c r="H38" i="1"/>
  <c r="L37" i="1"/>
  <c r="H37" i="1"/>
  <c r="L36" i="1"/>
  <c r="H36" i="1"/>
  <c r="L35" i="1"/>
  <c r="H35" i="1"/>
  <c r="L34" i="1"/>
  <c r="H34" i="1"/>
  <c r="L33" i="1"/>
  <c r="H33" i="1"/>
  <c r="L32" i="1"/>
  <c r="H32" i="1"/>
  <c r="L31" i="1"/>
  <c r="H31" i="1"/>
  <c r="L30" i="1"/>
  <c r="H30" i="1"/>
  <c r="L29" i="1"/>
  <c r="H29" i="1"/>
  <c r="L28" i="1"/>
  <c r="H28" i="1"/>
  <c r="L27" i="1"/>
  <c r="H27" i="1"/>
  <c r="L26" i="1"/>
  <c r="H26" i="1"/>
  <c r="L25" i="1"/>
  <c r="H25" i="1"/>
  <c r="L24" i="1"/>
  <c r="H24" i="1"/>
  <c r="L23" i="1"/>
  <c r="H23" i="1"/>
  <c r="L22" i="1"/>
  <c r="H22" i="1"/>
  <c r="L21" i="1"/>
  <c r="H21" i="1"/>
  <c r="L20" i="1"/>
  <c r="H20" i="1"/>
  <c r="L19" i="1"/>
  <c r="H19" i="1"/>
  <c r="L18" i="1"/>
  <c r="H18" i="1"/>
  <c r="L17" i="1"/>
  <c r="H17" i="1"/>
  <c r="L16" i="1"/>
  <c r="H16" i="1"/>
  <c r="L15" i="1"/>
  <c r="H15" i="1"/>
  <c r="L14" i="1"/>
  <c r="H14" i="1"/>
  <c r="L13" i="1"/>
  <c r="H13" i="1"/>
  <c r="L12" i="1"/>
  <c r="H12" i="1"/>
  <c r="L11" i="1"/>
  <c r="H11" i="1"/>
  <c r="L10" i="1"/>
  <c r="H10" i="1"/>
  <c r="L9" i="1"/>
  <c r="H9" i="1"/>
  <c r="L8" i="1"/>
  <c r="H8" i="1"/>
  <c r="L7" i="1"/>
  <c r="H7" i="1"/>
  <c r="L6" i="1"/>
  <c r="H6" i="1"/>
  <c r="L5" i="1"/>
  <c r="H5" i="1"/>
  <c r="L4" i="1"/>
  <c r="H4" i="1"/>
  <c r="L3" i="1"/>
  <c r="H3" i="1"/>
  <c r="L2" i="1"/>
  <c r="H2" i="1"/>
</calcChain>
</file>

<file path=xl/sharedStrings.xml><?xml version="1.0" encoding="utf-8"?>
<sst xmlns="http://schemas.openxmlformats.org/spreadsheetml/2006/main" count="3546" uniqueCount="1089">
  <si>
    <t>row_num</t>
  </si>
  <si>
    <t>cian_listing_id</t>
  </si>
  <si>
    <t>rooms</t>
  </si>
  <si>
    <t>nearest_metro</t>
  </si>
  <si>
    <t>metro_time_min</t>
  </si>
  <si>
    <t>address</t>
  </si>
  <si>
    <t>total_area_m2</t>
  </si>
  <si>
    <t>ln_total_area_m2</t>
  </si>
  <si>
    <t>living_area_m2</t>
  </si>
  <si>
    <t>floor</t>
  </si>
  <si>
    <t>total_floors</t>
  </si>
  <si>
    <t>floor_ratio</t>
  </si>
  <si>
    <t>building_material</t>
  </si>
  <si>
    <t>parking_type</t>
  </si>
  <si>
    <t>parking_index</t>
  </si>
  <si>
    <t>price_rub</t>
  </si>
  <si>
    <t>listing_description</t>
  </si>
  <si>
    <t>renovation_type</t>
  </si>
  <si>
    <t>renovation_index</t>
  </si>
  <si>
    <t>bathrooms_count</t>
  </si>
  <si>
    <t>ceiling_height_m</t>
  </si>
  <si>
    <t>ceiling_height_category</t>
  </si>
  <si>
    <t>ceiling_height_index</t>
  </si>
  <si>
    <t>patriki_dummy</t>
  </si>
  <si>
    <t>listing_url</t>
  </si>
  <si>
    <t>data_collection_date</t>
  </si>
  <si>
    <t>Тверская</t>
  </si>
  <si>
    <t>Москва, Большой Козихинский переулок, 17С1</t>
  </si>
  <si>
    <t>Кирпичный</t>
  </si>
  <si>
    <t>Номер объекта: 543527. Уютная и тихая 2-комнатная квартира площадью 54.3 кв.м с качественной отделкой в доходном доме 1905 года постройки, расположенном у Патриарших прудов.
Квартира расположена на высоком 3 этаже. Пять больших окон обращены в сторону двора и исторических построек района. Высокие потолки 3.6 метра.
Капитальный ремонт был выполнен в 2008 году с заменой всех коммуникаций и установкой сплит-системы кондиционирования Fujitsu. Квартира полностью готова к проживанию, укомплектована мебелью и бытовой техникой (Miele, Electrolux).
В доме всего 21 квартира, 1 подъезд, установлен лифт, домофон. В наличии одно машино-место в закрытом дворе, въезд через шлагбаум. В подъезде выполнен новый ремонт. На первом этаже находится известный ресторан Cutfish, а в соседнем доме - ресторан Mollusca, в которых можно провести приятный вечер и вкусно поужинать. 
В непосредственной близости расположены бутики, галереи, музеи, изумительные скверы и бульвары для прогулок. В пешей доступности ра ..., 15 фото</t>
  </si>
  <si>
    <t>Евроремонт</t>
  </si>
  <si>
    <t>высокие</t>
  </si>
  <si>
    <t>https://www.cian.ru/sale/flat/327564269</t>
  </si>
  <si>
    <t>Баррикадная</t>
  </si>
  <si>
    <t>Москва, Гранатный переулок, 6</t>
  </si>
  <si>
    <t>underground</t>
  </si>
  <si>
    <t>156799 ЖК Гранатный пер., д. 6
Уникальная современная двухуровневая квартира в легендарном месте исторического центра столицы  на Патриарших прудах в клубном доме класса De Luxe "Гранатный, 6". 
Многофункциональная квартира в нескольких уровнях после произведенного авторского ремонта. По завершению ремонтных работ, меблировки и декорирования в квартире никто не проживал, и она максимально готова к заселению будущих владельцев. Благодаря своему уникальному расположению квартира имеет возможность совмещать в себе не только комфортное проживание, но и при необходимости, используя наличие двух уровней и второго отдельного входа, выполнять представительские функции. 
Планировкой предусмотрено:
1 уровень (229 кв.м): холл, гардеробная при входе, гостиная с камином, кухонная зона, винная комната, гостевой санузел, мастер-спальня с гардеробной и ванной комнатами, вторая спальня с гардеробной и ванной комнатами;
2 уровень (103 кв.м): кабинет, третья спальня, ванная комната, постирочный блок,  ..., 30 фото</t>
  </si>
  <si>
    <t>Дизайнерский</t>
  </si>
  <si>
    <t>средние</t>
  </si>
  <si>
    <t>https://www.cian.ru/sale/flat/330583850</t>
  </si>
  <si>
    <t>004031 ЖК Гранатный пер., д. 6
Легендарная тишина Патриарших. Ваш эксклюзивный клубный дом De Luxe.
Погрузитесь в безмятежную жизнь в самом сердце столицы. Новый эксклюзивный, элитный клубный дом класса де-люкс расположился в престижном, умиротворенном районе у легендарных Патриарших прудов. Это убежище для истинных ценителей ауры исторического центра, бесценной тишины и безупречного комфорта.
Ваше расписание будет наполнено прогулками по оживленным улицам Москвы, где в шаговой доступности вас ждут модные бутики, гастрономические рестораны, уютные кафе и изысканные салоны — вся блестящая инфраструктура центра к вашим услугам.
Величественный шестиэтажный фасад, облаченный в благородный натуральный камень, встречает вас у закрытой, приватной и тщательно благоустроенной территории под круглосуточной профессиональной охраной. Внутри мир исключительных услуг: элегантная библиотека, современная детская игровая, современная система охраны, просторный подземный паркинг.
Квартира оснащена  ..., 9 фото</t>
  </si>
  <si>
    <t>Без ремонта</t>
  </si>
  <si>
    <t>https://www.cian.ru/sale/flat/330950257</t>
  </si>
  <si>
    <t>Москва, Малая Бронная улица, 15Б</t>
  </si>
  <si>
    <t>Монолитно-кирпичный</t>
  </si>
  <si>
    <t>ID 64736: ЖК Малая Бронная, 15. Готовая к проживанию изящная 3-комнатная квартира с эксклюзивным авторским интерьером в элитном доме на Малой Бронной, 15 в 5 минутах от Патриаршего пруда.
Удобно спланированное пространство: кухня-гостиная, 2 спальни с собственными гардеробными и санузлами, холл с дополнительной гардеробной и гостевым с/у. 
Высота потолков 3,5 метра  квартира невероятно воздушная, просторная и наполнена естественным освещением.
Выполнена действительно высококлассная отделка с вниманием к деталям с использованием мрамора и дуба. Пол - паркетная доска "французская ёлка". Мебель от культовых брендов Longhi и Rugiano, аксессуары из кожи Pinetti, текстиль  благородный, тактильный Loro Piana. Кухня: легендарная Gaggenau - техника, которая не подведёт через 10 лет.
Установлены система очистки воды и "умный дом".
Окна выходят на атмосферную историческую улочку. Никакого шума больших проспектов - только тишина и дух старой Москвы.
Парадные лобби, круглосуточная охрана, соб ..., 21 фото</t>
  </si>
  <si>
    <t>https://www.cian.ru/sale/flat/329526731</t>
  </si>
  <si>
    <t>Москва, Тверской бульвар, 16С5</t>
  </si>
  <si>
    <t>116314
Предлагаем к продаже квартиру с восхитительными видами на центр Москвы, Храм Христа спасителя, Кремль, Москва-Сити.
Малоквартирный дом со своим спортзалом, бассейном и сауной.
Расположение между Тверским бульваром и Леонтьевским переулком- идеально для жизни в самом центре столицы и, в то же время, в тишине и комфорте.
Уникальная локация позволяет быть близко ко всему необходимому- лучшие школы, театры, музеи, магазины, рестораны, в шаговой доступности Патриаршие пруды, Совет Федерации и Государственная дума. 
    Просторная 5-комнатная квартира в классической отделке 160 м2 с 2-мя лоджиями расположена на 8-ом этаже со свободным видом на пейзажи и панораму Москвы.
     Планировкой предусмотрено: 3 спальни, 3 санузла, кабинет, кухня с лоджией, гостиная. Высота потолка 3 метра.
       За безопасность в доме отвечает круглосуточная охрана дома и видеонаблюдение. Закрытая территория с выездом на Леонтьевский переулок или Тверской бульвар.
Подземный паркинг с автомойкой. В просторно ..., 20 фото</t>
  </si>
  <si>
    <t>https://www.cian.ru/sale/flat/320034913</t>
  </si>
  <si>
    <t>Москва, Большая Бронная улица, 5</t>
  </si>
  <si>
    <t>Светлая угловая квартира с большой лоджией и прекрасным видом. Общая площадь квартиры 55,1 кв. м. Выполнена качественная отделка.
Гостиная объединена с кухней, спальня, ванная комната, большая лоджия. Высота потолков 2.7 м.
Квартира полностью меблирована и оснащена всей необходимой бытовой техникой., 18 фото</t>
  </si>
  <si>
    <t>низкие</t>
  </si>
  <si>
    <t>https://www.cian.ru/sale/flat/330813938</t>
  </si>
  <si>
    <t>Пушкинская</t>
  </si>
  <si>
    <t>Просторная квартира с двумя спальнями площадью 137 м² в клубном доме делюкс-класса "Малая Бронная 15" на втором этаже. 
Функциональная планировка включает кухню-гостиную, две мастер-спальни со своими ванными комнатами и гардеробными, холл с гостевым санузлом и гардеробной. Выполнена отделка с использованием натуральных материалов  мрамора, дуба. Кухня укомплектована бытовой техникой Gaggenau. В комнатах текстиль Loro Pianа, мебель Longhi и Rugiano, кожаные аксессуары Pinetti и Bork. На полу выложена паркетная доска в форме "французской елки". В квартире установлена приточно  вытяжная вентиляция, система увлажнения воздуха, система очитки воды, умный дом. Высота потолка 3,5 метра. 
Из окон открываются виды на улицу Малая Бронная. Предусмотрено одно машино-место в подземном паркинге.
Комментарий эксперта. Меня зовут Лариса Шефель — брокер компании Whitewill. Я отвечаю за продажу этого лота. Свяжитесь со мной, чтобы получить расширенную презентацию, больше фотографий или договориться о ..., 28 фото</t>
  </si>
  <si>
    <t>https://www.cian.ru/sale/flat/313946912</t>
  </si>
  <si>
    <t>Монолитный</t>
  </si>
  <si>
    <t>Лот: 110125.   На продажу предлагается изысканная трехкомнатная квартира площадью 137 кв.м. на Патриарших. 
Функциональная планировка: кухня-гостиная, две спальни с гардеробными и санузлами, гардеробная, гостевой санузел, постирочная, прихожая. 
Высота потолков - 3,5 м. Из окон открываются прекрасные виды на тихий центр Москвы. 
В отделке использованы дорогостоящие материалы, мебель -  Longhi и Rugiano, текстиль - Loro Pianа, бытовая техника - Gaggenau. 
В квартире установлены инновационные системы очистки и увлажнения воздуха, фильтрация воды до уровня питьевой и система "умный дом". 
Предусмотрен подземный паркинг.
Удобная транспортная доступность и развитая инфраструктура района. 
Участник ассоциации AREA., 20 фото</t>
  </si>
  <si>
    <t>https://www.cian.ru/sale/flat/312477508</t>
  </si>
  <si>
    <t>Москва, улица Спиридоновка, 16С1</t>
  </si>
  <si>
    <t>on</t>
  </si>
  <si>
    <t>Апартаменты с 3 спальнями общей площадью 126 м² в доме "Спиридоновка, 16с1" на 1 этаже. Возможная планировка: кухня-гостиная, 3 спальни, кабинет, 2 санузла и холл. Окна ориентированы на две стороны света, открываются виды на улицу Спиридоновка и во двор. Предусмотрено 2 машино-места в наземном паркинге.
Главное о доме. "Спиридоновка, 16с1" — 5-этажный дом на 10 квартир на Патриарших прудах, построенный по проекту архитектора Петра Бойцова в неоклассическом стиле. Фасад с рустовкой на нижних этажах переходит в гладкую штукатурку с вертикальной разбивкой, окна объединены строгим ритмом в изящных обрамлениях. Вход отмечен арочным порталом с фигурным замковым камнем, верхние этажи украшают французские балконы с коваными ограждениями. Лобби напоминает европейский особняк: плитка с фактурой мрамора, классическая лепнина и декоративные молдинги молочного оттенка. Высота потолков в квартирах достигает 4 метров. Машину вы оставляете на наземном паркинге.
Главное о локации. За 4 минуты вы дохо ..., 9 фото</t>
  </si>
  <si>
    <t>https://www.cian.ru/sale/flat/327750848</t>
  </si>
  <si>
    <t>Маяковская</t>
  </si>
  <si>
    <t>Москва, Благовещенский переулок, 5</t>
  </si>
  <si>
    <t>Сталинский</t>
  </si>
  <si>
    <t>открытая</t>
  </si>
  <si>
    <t>Лот 1000232. Светлана Алиева.
Продается 2-х комнатная квартира с хорошим свежим качественным ремонтом в историческом центре Москвы, в Благовещенском переулке. 
Расположена на 4 этаже 8-этажного кирпичного дома, потолки 3 метра. 
Квартира уютная, светлая и солнечная. Окна смотрят во двор, в квартире очень тихо.
Общая площадь 62 кв.м. Спальня со встроенным шкафом для хранения на всю стену, большая просторная гостиная и отдельная кухня со всторенной мебелью. 
Один совмещенный санузел с ванной, кондиционер и бойлер. Квартира полностью меблирована, всё остается.
Дом кирпичный, хорошая тепло- и звукоизоляция, в хорошем состоянии, оснащен пассажирским лифтом. Есть машиноместо во дворе.
Бонус партнерам 50%.
Есть презентации в pdf на русском или английском для партнеров. Член ассоциации агентств элитной недвижимости AREA., 29 фото</t>
  </si>
  <si>
    <t>https://www.cian.ru/sale/flat/326599816</t>
  </si>
  <si>
    <t>Москва, Малая Никитская улица, 20С1</t>
  </si>
  <si>
    <t>Лот: 9286. Патриаршие пруды. Малая Никитская 20. 
Редкое предложение в самом сердце Москвы, в одном из самых престижных районов. 
186 кв.метров, пять изолированных комнат, идеально спланированное пространство, разделено на несколько зон. Планировка: просторная гостиная с камином, мастер- блок состоящий из спальни с санузлом и вместительной гардеробной комнаты, в другой части квартиры расположились детские комнаты, гардеробная, большой санузел с действующей сауной. Квартира очень светлая, ремонтом, который легко трансформировать под свои нужды. Окна ориентированы на три стороны света. Высота потолков-3.2 метра. 
Очень камерный дом всего на 15 квартир, есть собственная  закрытая придомовая территория с деткой площадкой и парковкой для жителей дома. 
Локация говорит сама за себя. Патриаршие пруды-это тишина в центре, атмосфера интеллигентной Москвы, где расположены лучшие рестораны, бутики , театры, а также престижные учебные заведения с высоким рейтингом. При этом Малая Никитская улица о ..., 23 фото</t>
  </si>
  <si>
    <t>https://www.cian.ru/sale/flat/331813349</t>
  </si>
  <si>
    <t>Москва, Большая Бронная улица, 27/4</t>
  </si>
  <si>
    <t>Лот: 104289. Ко-Эксклюзив NF GROUP. В продаже квартира с отделкой в дореволюционном особняке на Большой Бронной, в нескольких шагах от Патриарших прудов. Пространство расположено в реконструированном историческом доме и сочетает атмосферу старой Москвы, высокие потолки и современный уровень комфорта, создавая идеальный формат жизни в одном из самых престижных районов столицы.
Интерьер выполнен в светлой цветовой палитре с использованием качественных материалов и дизайнерской мебели. Квартира полностью готова к проживанию, а высокие потолки и большие окна наполняют пространство естественным светом, подчеркивая ощущение объёма и элегантности.
Планировка:
- просторная гостиная
- кухня-столовая
- три спальни
- четыре санузла
- прихожая с зонами хранения
Высота потолков — 4,5 м.
Из окон открываются виды в тихий переулок и на историческую застройку района Патриарших прудов, создавая атмосферу уединения в самом центре Москвы.
Камерный особняк после реконструкции рассчитан всего на 20 квар ..., 25 фото</t>
  </si>
  <si>
    <t>https://www.cian.ru/sale/flat/330951739</t>
  </si>
  <si>
    <t>Москва, Большой Козихинский переулок, 7</t>
  </si>
  <si>
    <t>Предлагается трехкомнатная квартира 56,6 м², расположенная в историческом районе города. 
Пространственное решение включает просторную кухню-столовую, две уютные спальни, функциональную ванную комнату и вместительный коридор.
Классический стиль ремонта, выполненный по авторскому дизайн проекту,  подчеркивает элегантность пространства и создает атмосферу уюта. 
В квартире установлена высококачественная мебель, соответствующая стилистическому решению помещения. Современная бытовая техника обеспечивает комфорт проживания и удобство эксплуатации жилья. 
Наличие специального винного холодильника позволяет ценителям вина хранить коллекцию напитков в оптимальных условиях.
Окна квартиры выходят на живописный Козихинский переулок, создавая приятную визуализацию городской среды.
Объект идеально подойдет как для постоянного проживания, так и для сдачи в аренду представителям бизнес-среды, ценящим качество, престиж и комфорт!
Жилой четырёхэтажный кирпичный дом, расположенный в престижном районе ..., 11 фото</t>
  </si>
  <si>
    <t>https://www.cian.ru/sale/flat/324944297</t>
  </si>
  <si>
    <t>Москва, Малая Бронная улица, 31/13</t>
  </si>
  <si>
    <t>Просторная квартира с тремя спальнями в особняке у Патриарших прудов. 
Выполнена дизайнерская отделка в современном стиле с элементами классики и ар-деко. Интерьер построен на сочетании природных текстур, пастельных оттенков и латунных акцентов. В отделке гостиной использован мрамор и зеркала, что позволяет аккуратно зонировать пространство. Интерьер спален выполнен в единой стилистике: в двух комнатах установлены крупные мягкие изголовья, третья спальня необычной круглой формы оформлена декоративной перегородкой с тропическим принтом.
Спланирована кухня-гостиная с мраморным островом, переходящим в обеденный стол, мастер-спальня с ванной комнатой и гардеробной с окном, две спальни, одна из которых с гардеробной, санузел с душевой, гардеробная, постирочная, прихожая. Круглую спальню опоясывает балкон-терраса с видами на Патриарший пруд. 
Квартира полностью меблирована и оборудована бытовой техникой. Большое количество окон наполняет пространство естественным светом.
Для жильцов дома ..., 16 фото</t>
  </si>
  <si>
    <t>https://www.cian.ru/sale/flat/327931969</t>
  </si>
  <si>
    <t>Москва, Малый Козихинский переулок, 14</t>
  </si>
  <si>
    <t>Лот 52378. Качевская Полина.
Квартира с выверенной архитектурой пространства и ощущением спокойной, уверенной роскоши. Сразу хотим отметить: у вас не будет много соседей — здесь всего 21 резиденция. И, к тому же, круглосуточная охрана. Очень спокойно и безопасно. 
Объединённая кухня-гостиная — светлое, гармоничное пространство для жизни и приёма гостей. Без перегруженности, с правильными пропорциями и естественным светом. Мастер-спальня дополнена гардеробной зоной и остаётся полностью приватной. Отдельный кабинет легко трансформируется во вторую спальню — решение, которое подстраивается под ваш образ жизни. Высокие потолки и крупные окна усиливают ощущение воздуха и свободы. В квартире уже всё готово для комфортного проживания — без компромиссов и лишних доработок. А окна (и, кстати, балкон) смотрят в уютный зеленый двор.
Камерный дом с закрытой территорией и атмосферой приватности. Здесь нет случайных людей. Подземный паркинг с лифтом избавляет от повседневных неудобств и экономит вр ..., 15 фото</t>
  </si>
  <si>
    <t>https://www.cian.ru/sale/flat/328977586</t>
  </si>
  <si>
    <t>Эксклюзивная двухуровневая резиденция площадью 332,2 м² с индивидуальным вторым входом, после авторского ремонта в жилом комплексе класса deluxe Гранатный 6 на Патриарших прудах. Адрес, который говорит о вкусе, статусе и выборе жить среди истории, безупречного окружения и комфорта. Абсолютно новая. В квартире никто не проживал.
Авторский проект создавался для личного пользования, без компромиссов по бюджету и качеству. 
Интерьер собран как арт-объект: итальянский мрамор и оникс, дерево, кожа ручной выделки, стекло. Все материалы прошли тщательный отбор специалистов и проверку на экологическую безопасность. 
Мебель премиальных европейских брендов Giorgetti, Ceccotti, Hermes, Baxter, Minotti, Molteni, Poltrona Frau. Текстиль от топовых английских и итальянских производителей. Бытовая техника - Miele, Liebherr, Kppersbusch. 
Свет формирует атмосферу по Вашему вкусу и настроению: каскадная хрустальная люстра Fabbian, авторская инсталляция из муранского стекла ручной выдувки и другие свет ..., 18 фото</t>
  </si>
  <si>
    <t>https://www.cian.ru/sale/flat/328649583</t>
  </si>
  <si>
    <t>Москва, Большая Бронная улица, 9/1</t>
  </si>
  <si>
    <t>Представляем вашему вниманию уютную двухкомнатную квартиру, расположенную в престижном районе Патриарших прудов. Дом, построенный в 1965 году, представляет собой крепкое кирпичное строение всего в девять этажей с одним подъездом, что обеспечивает тишину и спокойствие. Всего в доме 35 квартир, что говорит о камерной атмосфере и добрососедских отношениях.
Квартира общей площадью 65 кв.м. предлагает продуманную планировку: две просторные изолированные комнаты площадью 20 и 18 кв.м. позволят каждому члену семьи иметь свое личное пространство, а кухня в 11 кв.м. станет любимым местом для семейных ужинов. Изюминкой квартиры является просторная лоджия длиной 6 метров, которая станет прекрасным местом для утреннего кофе или вечернего отдыха. Благодаря окнам, выходящим на южную сторону, квартира наполнена естественным светом в течение всего дня.
Квартира полностью готова к проживанию  вся мебель остается новым владельцам, что позволит вам заселиться без лишних хлопот.
Дом может похвастаться  ..., 6 фото</t>
  </si>
  <si>
    <t>https://www.cian.ru/sale/flat/329369076</t>
  </si>
  <si>
    <t>Москва, Большой Козихинский переулок, 14С2</t>
  </si>
  <si>
    <t>ЭКСКЛЮЗИВ агентства PEOPLE
ДВУХУРОВНЕВЫЙ ПЕНТХАУС С 3 ВИДОВЫМИ ТЕРРАСАМИ В КЛУБНОМ ДОМЕ С ПОДЗЕМНЫМ ПАРКИНГОМ "САД ЛАБИРИНТ". 
- Общая площадь 307.7 м²
- 2 машиноместа в подземном паркинге
- 16 квартир в доме
- Виды на Кремль, Храм Христа Спасителя и Москва-Сити
- Дровяной камин в квартире
ПЛАНИРОВКА:
1 уровень:
- Просторная кухня-гостиная с выходом на террасу
- 3 спальни (2 мастер-спальни с гардеробными и ванными)
- Библиотека из ценных пород дерева
- Гостевой санузел
 2 уровень:
- Лаунж-зона с дровяным камином
- Кабинет/медиазал
- 2 панорамные террасы (58 м²)
- Санузел
ОТДЕЛКА:
• Полы: наборный паркет и подогреваемый керамогранит
• Мебель ручной работы из массива ореха и дуба
• Отделка: натуральный мрамор, травертин, редкие породы камня
• Каминная зона с порталом из оникса
УСЛОВИЯ СДЕЛКИ:
Прямая продажа
ИНФРАСТРУКТУРА РАЙОНА:
• 5 минут до Бульварного кольца
• Лучшие рестораны и бутики в шаговой доступности
• Престижные школы и детские сады
• 15 минут пешком до Кремля
ОСОБЕННОСТ ..., 30 фото</t>
  </si>
  <si>
    <t>https://www.cian.ru/sale/flat/320084842</t>
  </si>
  <si>
    <t>Москва, Малая Никитская улица, 16/5</t>
  </si>
  <si>
    <t>Видовая квартира на Патриарших п рудах.
Планировка включает в себя: просторную комнату с балконом, зону кухни, большую ванную с окном.
Окна квартиры выходят на две стороны света, имеют открытые виды на центр Москвы, что является собой изюминкой квартиры.
Высокие потолки!
Дом сталинской постройки, красивый фасад, расположен в самом престижном районе Москвы., 14 фото</t>
  </si>
  <si>
    <t>https://www.cian.ru/sale/flat/329168954</t>
  </si>
  <si>
    <t>Москва, Малая Бронная улица, 42/14</t>
  </si>
  <si>
    <t>Предлагаю вашему вниманию квартиру с дизайнерским ремонтом от итальянского бюро.   
Квартира готова к проживанию, аналогов в районе нет. Изысканная квартира со множеством окон и уютным балкончиком в тихий двор.  
Квартира оборудована всей необходимой техникой ведущих марок, мебель американских и итальянских люксовых брендов!   
Установлена канальная система кондиционирования (в каждой зоне свой климат).   
Во дворе имеется парковочное место.  
Квартира находится в историческом особняке с ЖБ перекрытиями, в "шаге" от Патриаршего пруда!, 28 фото</t>
  </si>
  <si>
    <t>https://www.cian.ru/sale/flat/331686352</t>
  </si>
  <si>
    <t>Москва, Малая Бронная улица, 4</t>
  </si>
  <si>
    <t>Предлагается уютная дизайнерская квартира на Патриарших прудах. В квартире сделан качественный дизайнерский ремонт с заменой всех коммуникаций. На полу инженерная доска, кондиционирование в каждой комнате. 2 спальни, 2 СУ. Железобетонные перекрытия. Отличные виды на Москва-Сити и город. Парковка во дворе под шлагбаум., 26 фото</t>
  </si>
  <si>
    <t>https://www.cian.ru/sale/flat/330531936</t>
  </si>
  <si>
    <t>Просторная трехкомнатная квартира ждет своих новых владельцев в самом сердце Москвы! Дом новый. .Общая площадь составляет 120 кв. м, из которых 80 кв. м — жилая площадь и 20 кв. м — выделено под кухню. Квартира находится на 4 этаже 9-этажного монолитного дома, построенного в 2008 году. Высокие потолки 3,1 метра создают ощущение простора и свободы. Всего в квартире три комнаты : просторная кухня - гостиная, спальня и детская  или кабинет, два отдельных санузла, а также есть балкон с видом на тихий двор.
Квартира располагает дизайнерским ремонтом, выполненным с учетом современных   стандартов. Оригинальная планировка и  качественная отделка создают уютную атмосферу. Встроенная мебель и техника позволяют сразу заехать и начать жить. Два санузла оборудованы современной сантехникой. 
Дом находится в отличном состоянии, с ухоженной территорией и наземной парковкой. Для вашего удобства предусмотрены пассажирский и грузовой лифты, пандус и мусоропровод. 
Район предлагает все необходимое для ..., 21 фото</t>
  </si>
  <si>
    <t>https://www.cian.ru/sale/flat/326014761</t>
  </si>
  <si>
    <t>Представляю Вашему вниманию эксклюзивную двухэтажную 4-х комнатную квартиру в историческом центре Москвы! Всеми любимые Патрики))  
Характеристики:  
- Качественный ремонт с дорогими материалами по дизайн-проекту в стиле "модерн".    
- Просторная гостиная и 3 спальни, две из которых с гардеробом.  
- Открытая кухня, соединенная со столовой, с дополнительной хозяйственной комнатой.  
- Идеальное расположение окон с Востока на Запад по всей длине зала, весь день пространство помещения заполнено солнечным светом.  
- Распашонка, окна на 2 стороны.  
- Два уровня, сделан второй свет, благодаря чему квартира просторна, потолки 4.5 метра.  
- Установлена система кондиционирования на 2 уровня.  
- Есть теплые полы.  
- 4 санузла с душевой, ванной и джакузи с сауной.  
Инфраструктура:  
- В доме есть кофейни, салон красоты, рестораны.  
- Парковка во дворе.   
- Развитая инфраструктура района: школы, детские сады, удобная пешая и транспортная доступность.  
- Был проведен капитальный ре ..., 24 фото</t>
  </si>
  <si>
    <t>https://www.cian.ru/sale/flat/323910972</t>
  </si>
  <si>
    <t>Продается двухкомнатная квартира в районе Патриарших прудов в пешей доступности от метро. Рядом много театров, ресторанов, прогулочных зон., 10 фото</t>
  </si>
  <si>
    <t>Косметический</t>
  </si>
  <si>
    <t>https://www.cian.ru/sale/flat/320996812</t>
  </si>
  <si>
    <t>Москва, Большая Бронная улица, 29</t>
  </si>
  <si>
    <t>Эксклюзив компании NIKA ESTATE! Предлагается к продаже светлая 4-комнатная квартира общей площадью 120 кв метров с отделкой в стиле современной классики. Функциональной планировкой предусмотрена роскошная гостиная с великолепными видами на Пушкинскую площадь и Тверской бульвар, изолированная кухня-столовая, две роскошных спальни с балконом и видами в тихий зеленый двор, кабинет (может быть третьей спальней), два санузла, вместительная гардеробная, балкон. Огороженный, охраняемый двор, наземная парковка. Квартира полностью оборудована всей необходимой мебелью и техникой, готова к проживанию., 26 фото</t>
  </si>
  <si>
    <t>https://www.cian.ru/sale/flat/331777571</t>
  </si>
  <si>
    <t>Лот 59244. Качевская Полина.
Есть адреса, которые не нуждаются в представлении. Большая Бронная — один из них.
Утром — кофе в любимом месте на Патриарших, несколько минут пешком до встреч в центре. Днем — размеренный ритм города за пределами вашего дома. Вечером — тишина старого московского переулка, где за окнами не шум магистралей, а история одного из самых красивых районов столицы.
Эта квартира занимает 255 квадратных метров в камерном особняке начала XX века, бережно реконструированном и рассчитанном всего на 20 резиденций. Здесь сохранилось главное достоинство исторической архитектуры — ощущение воздуха. Потолки высотой 4,5 метра наполняют пространство светом и создают объем, который невозможно воспроизвести в современных проектах. 
Планировка выстроена вокруг семейной жизни и приема гостей. Просторная гостиная плавно переходит в кухню-столовую — место, где одинаково естественно проходят воскресные завтраки, семейные ужины и камерные вечера с друзьями. Три изолированные спальн ..., 23 фото</t>
  </si>
  <si>
    <t>https://www.cian.ru/sale/flat/331604618</t>
  </si>
  <si>
    <t>Великолепная квартира с террасой в клубном доме "Сад-Лабиринт" площадью 163.3 м2.
Предусмотрена очень удобная планировка: большая кухня-гостиная с выходом на уютную террасу, 2 мастер спальни с собственными ванными и гардеробными, гостевая спальня и гостевой туалет.
Квартира располагается на  2-м этаже, потолки 3,40 м. Окна выходят в тихий двор и на сквер Булгакова. 
Квартира продается без обстановки, только с встроенной мебелью. 
Есть 1 машино-место в подземном паркинге по стоимости 10 млн рублей.
В приватном клубном доме "Сад лабиринт" всего 16 квартир.
В доме шикарная входная группа, охраняемая закрытая территория, видеонаблюдение, шлагбаум, консьерж, охрана.
В шаговой доступности вся инфраструктура Патриарших прудов: уютные рестораны, фешенебельные бутики, тихие переулки исторического центра Москвы.
В ближайшем окружении лучшие школы и детские сады ЦАО, театры, музеи, фитнес и спа-клубы, медицинские и косметологические клиники. 
Наша компания состоит в ассоциации агентств элитной  ..., 9 фото</t>
  </si>
  <si>
    <t>https://www.cian.ru/sale/flat/329746270</t>
  </si>
  <si>
    <t>Москва, Большой Козихинский переулок, 27С1</t>
  </si>
  <si>
    <t>ID 512 Пятикомнатная квартира площадью 209 м2  расположена на 3 этаже дома в тихой части Патриарших прудов. Одна квартира на этаже.
Функциональной планировкой предусмотрена гостиная с камином, кухня-столовая, мастер-спальня с большой гардеробной и ванной комнатой, 2 спальни, ванная комната, кабинет, постирочная, кладовая, гостевой санузел, просторная прихожая. Все ванные комнаты с окнами.
Выполнен ремонт по проекту известных голландских архитекторов Jan des Bouvrie и Herman Peters. Ванные комнаты укомплектованы сантехникой Duravit и арматурой Dornbracht. Светлая кухня от бренда Bulthaup оснащена бытовой техникой Miele. 
Установлена приточно-вытяжная система вентиляции воздуха с системой очистки и регулирования температуры Daikin. 
Окна квартиры выходят на 3 стороны света. Высота потолков — 3,15 м.
Предусмотрено 2 машиноместа на закрытой придомовой территории. Двор приватизирован.
Доходный дом Н. А. Серебрякова расположен в тихой части Патриарших прудов по адресу: Большой Козихинс ..., 13 фото</t>
  </si>
  <si>
    <t>https://www.cian.ru/sale/flat/324985994</t>
  </si>
  <si>
    <t>Москва, Малая Бронная улица, 21/13С2</t>
  </si>
  <si>
    <t>Предлагается уникальный объект на Патриарших прудах.   
В квартире сделан качественный ремонт в классическом стиле.  
Высокие потолки 4 метра и большие окна наполняют пространство светом и воздухом.  
Окна обращены на две стороны.  
Кухня, столовая-гостиная, кабинет выходят на Бронную.  
Спальня со своим санузлом и гардеробом выходят во двор. Имеется гостевой санузел.   
Есть 1 закрепленное машиноместо вблизи дома.  
Ключи на руках, показы по договоренности., 19 фото</t>
  </si>
  <si>
    <t>https://www.cian.ru/sale/flat/328159372</t>
  </si>
  <si>
    <t>Вашему вниманию предлагается квартира в самом сердце светской Москвы, где сочетаются историческая атмосфера и знаковая архитектура, респектабельная частная жизнь, бизнес-среда и тот самый непередаваемый флер Патриарших, который и делает это место особенным.
Квартира имеет идеальную двустороннюю планировку: прихожая, кухня с обеденной зоной, гостиная с эркером, кабинет, мастер-спальня (окна выходят во двор), гардеробная комната (при желании можно переоборудовать под вторую спальню), просторная ванная комната с окном, гостевой санузел с душевой. 
В квартире выполнен изысканный ремонт из высококачественных отделочных и строительных материалов. Можно организовать камин, есть две печные вытяжки.
Квартира укомплектована: 
итальянская мебель, изготовленная под заказ, встроенный кухонный гарнитур Scavolini с техникой. высокие двери  из массива, дубовый паркет, светильники XIX века, текстиль.
Комфортный климат поддерживается сплит системой. Тройные стеклопакеты обеспечивают в квартире полну ..., 30 фото</t>
  </si>
  <si>
    <t>https://www.cian.ru/sale/flat/331768136</t>
  </si>
  <si>
    <t>Эксклюзивная дизайнерская квартира в клубном доме "Малая Бронная 15" в самой модной и запрашиваемой локации - на Патриарших прудах.
Ремонт выполнен в неоклассическом стиле исключительно из дорогих материалов (дубовая паркетная доска, итальянский мрамор, кварц, гипсовые карнизы индивидуального изготовления). Мебель Longhi, Rugiano. Кухня оборудована встроенной бытовой техникой Gaggenau, Liebher, в ванных комнатах сантехника Villeroy&amp;Boch, Nicolazzi. Установлена система "Умный дом".
Планировочное решение: просторная кухня-гостиная-столовая, 2 спальни, каждая - с ванной комнатой, гардеробная, постирочная, гостевой с/у.
Окна выходят на Малую Бронную улицу.
Есть 2 м/м в подземном паркинге.
Малая Бронная 15 - жилой 7-этажный особняк на 23 квартиры. В отделке фасадов применяется натуральный камень, уникальная клинкерная плитка, декоративные элементы из архитектурного каменя. Материалы, которые ни когда не потеряют свою актуальность. В доме предусмотрены самые современные и совершенные ин ..., 6 фото</t>
  </si>
  <si>
    <t>https://www.cian.ru/sale/flat/313384249</t>
  </si>
  <si>
    <t>ЛОТ 24934. Предлагается новая квартира в клубном доме на Патриарших. 
Интерьер выполнен по эксклюзивному авторскому проекту в неоклассическом стиле. В безупречной отделке использованы качественные натуральные материалы. Мебель и предметы интерьера изготовлены на заказ. 
Функциональная планировка включает в себя кухню-гостиную, 2 мастер спальни с ванными и гардеробными комнатами, гостевой санузел, большую гардеробную, хозяйственное помещение.
В наличии машиноместо в подземном паркинге.
Огороженная территория, профессиональная охрана. 
В распоряжении жильцов вся необходимая столичная инфраструктура: лучшие рестораны и кафе, магазины и супермаркеты, салоны красоты и фитнес-центры, гимназии и лицеи, детские сады., 4 фото</t>
  </si>
  <si>
    <t>https://www.cian.ru/sale/flat/331366248</t>
  </si>
  <si>
    <t>Москва, Малая Бронная улица, 20С2</t>
  </si>
  <si>
    <t>Лот 59009. Наталья Черных.
Предлагается просторная двухуровневая квартира с камином на Патриарших Прудах. Ремонт выполнен в классическом стиле, с использованием дорогостоящих материалов, установлены кондиционеры. Функциональная планировка: гостиная со столом для игры в бильярд и домашним кинотеатром, кухня, три спальни, кабинет, три санузла, сауна, гардеробные комнаты. Окна выходят во двор. Парковка на охраняемой территории. Более пяти лет в собственности, свободная продажа.
Бонус партнерам 50%.
Есть презентации в pdf на русском или английском для партнеров. Член ассоциации агентств элитной недвижимости AREA., 38 фото</t>
  </si>
  <si>
    <t>https://www.cian.ru/sale/flat/322164956</t>
  </si>
  <si>
    <t>Москва, Гранатный переулок, 10С1</t>
  </si>
  <si>
    <t>210949
Квартира, где жила история...
Дом,где ходили ноги Брежнева, Вячеслава Тихонова,Хасбулатова,Чурбанова
Просторная квартира площадью 193 кв. м расположена в знаковом доме в Гранатном переулке — на тихой, уютной улице в центре столицы. Это место с особой аурой: когдато здесь жила советская элита, и сегодня дом продолжает хранить отпечаток времени и статуса.
Планировка продумана до мелочей: 3 спальни, одна из которых — мастерспальня с собственной приватной зоной и окном в ванной. Три санузла обеспечивают максимальный комфорт для всех членов семьи и гостей. 2 лоджии. В стоимость так же входит 2 машиноместа.
Особая гордость квартиры — оригинальный паркет, сохранившийся в идеальном состоянии. Тёплый, благородный рисунок дерева придаёт интерьеру глубину и элегантность, становясь главным акцентом пространства.
Из окон открывается потрясающий вид на особняк Морозовой — архитектурную жемчужину, которая ежедневно будет радовать глаз и напоминать о богатой истории района.
Локация — одно ..., 21 фото</t>
  </si>
  <si>
    <t>https://www.cian.ru/sale/flat/331537691</t>
  </si>
  <si>
    <t>Москва, Малый Козихинский переулок, 11</t>
  </si>
  <si>
    <t>201680 ЖК У Патриарших
Просторные 5-комнатные апартаменты 350 кв.м в клубном доме "У Патриарших". Апартаменты занимают весь пятый этаж.
Планировка: прихожая с большой гардеробной, просторная кухня-гостиная со столовой зоной и выходом на балкон, мастер-блок: спальня с выходом на балкон, две гардеробные, две ванные комнаты с хаммамом, кабинет; три спальни с ванными и гардеробным комнатами, отдельный блок с кухней и постирочной зоной, комната для персонала, гардеробная комната, гостевой санузел. 
Интерьер выполнен в спокойной цветовой палитре с использованием  мрамора, оникса и травертина. Высокие потолки и окна "в пол" зрительно увеличивают пространство. Установлена система "умный дом", многоступенчатая очистка воздуха и воды.
В собственности есть два машино-места и кладовое помещение.
Клубный дом "У Патриаршх" - это 7-этажный особняк в стиле ар-деко с фасадом из натурального камня и витражами, расположенный в 2 километра от Кремля и в 3 минутах пешком от Патриарших прудов. В доме вс ..., 35 фото</t>
  </si>
  <si>
    <t>https://www.cian.ru/sale/flat/328653620</t>
  </si>
  <si>
    <t>189971
Уникальная 2-уровневая квартира с действующим камином на Малой Бронной.
Планировка: 
1 уровень: кухня, гостиная, зона отдыха с действующим камином, спальня с ванной комнатой, вторая спальня;
2 уровень: зона отдыха с камином, бильярдом и сауной, мастер-спальня с собственной гардеробной комнатой и ванной, гостевая спальня.
Квартира полностью меблирована и оснащена всей необходимой техникой для комфортного проживания. 
Окна ориентированы во двор и тихий переулок.
Предусмотрена парковка в охраняемом дворе.
В непосредственной близости от дома находятся лучшие рестораны и кафе Москвы, бутики, галереи, музеи, а также изумительные скверы и бульвары для прогулок. В пешей доступности расположены три станции метро (Тверская, Маяковская и Баррикадная).
Экосистема Kalinka  недвижимость для счастья.
Участник ассоциации AREA, 20 фото</t>
  </si>
  <si>
    <t>https://www.cian.ru/sale/flat/330052330</t>
  </si>
  <si>
    <t>Москва, улица Спиридоновка, 22/2</t>
  </si>
  <si>
    <t>172076
Пентхаус в центре Патриарших прудов с большой террасой на крыше, с которой открываются фантастические круговые виды на всю Москву. Известный пентхаус, в котором проводились съемки сериала "Беспринципные", находится в доме 1940 года постройки. В доме проживала великая певица, народная артистка СССР (1971 г.).
Угловая башня расположена на пересечении Спиридоньевского переулка и улицы Спиридоновка. С 2018 года здание получило статус памятника культуры.
Площадь пентхауса составляет 88,4 м², также есть кладовая площадью около 3 м². Площадь террасы на крыше составляет около 100 м². Апартаменты трехсторонние с большими панорамными окнами в пол по периметру всей площади. Оборудованная кухня с встроенной техникой и винным шкафом. Система кондиционирования, "умный дом". В ванной комнате душ и джакузи с панорамным окном. Полностью меблирован по индивидуальному проекту. В апартаменте имеется действующий дровяной камин.
На оборудованной террасе расположены барбекю, вода, электричество, б ..., 21 фото</t>
  </si>
  <si>
    <t>https://www.cian.ru/sale/flat/314167272</t>
  </si>
  <si>
    <t>Москва, Малая Бронная улица, 26С1</t>
  </si>
  <si>
    <t>164306
Стильные апартаменты в клубном доме "Малая Бронная, 26" на Патриарших прудах. 
Планировка: просторная гостиная с камином, гостевой санузел, постирочная, зона столовой, кухня, мастер-спальня с ванной комнатой. 
Единственная квартира на этаже. Высота потолков 4 метра. Окна ориентированы на две стороны, выходят: на улицу Малая Бронная и во внутренний двор.
Мебель выполнена на заказ от европейских фабрик: Ipe Cavalli Vizionare, Henge, Promemoria, Smania, Bruno Moinard. Антикварная мебель и предметы в стиле ар-деко, золотой стол в гостиной, латунные тумбы и прикроватные светильники. На полу выложена паркетная доска Ebony из массива дуба и оникс. Эксклюзивные люстры от брендов Morano, Ralph Lauren, Lalique, Baccarat. Ванная комната оборудована сантехникой Lalique, тропический душ с подсветкой, турецкая баня. Шторы от европейского производителя M-Design pro. Технология "умный дом" и система кабельного охлаждения от Vip teplo.  
Комплекс "Малая Бронная, 26" - дом XIX века. Произв ..., 16 фото</t>
  </si>
  <si>
    <t>https://www.cian.ru/sale/flat/309244270</t>
  </si>
  <si>
    <t>Москва, Большой Козихинский переулок, 25</t>
  </si>
  <si>
    <t>126845 ЖК Булгаков
Трехкомнатная квартира с авторской отделкой в классическом стиле в клубном доме "Булгаков". 
Планировка: кухня-гостиная-столовая с выходом на балкон, мастер-спальня с ванной комнатой, спальня, ванная комната, гостевой санузел, гардеробная комната.  
В отделке использованы дорогие высококачественные материалы: мрамор, дерево, хрусталь, шелк, золото. 
Мебель от именитого итальянского бренда Jumbo. 
Окна ориентированы на Большой Козихинский переулок. 
Ждем Вас на показе.
Участник ассоциации AREA, 20 фото</t>
  </si>
  <si>
    <t>https://www.cian.ru/sale/flat/331800560</t>
  </si>
  <si>
    <t>Москва, Тверской бульвар, 19</t>
  </si>
  <si>
    <t>104759 ЖК Тверской б-р, д. 19
Видовая квартира в фасадном особняке на Тверском бульваре.
Планировка: кухня-гостиная, мастер-спальня, две отдельные детские, ванная комната, гостевой санузел. Монохромный интерьер в стиле современной классики.
Из окон, ориентированных на три стороны, открываются бесценные виды на Тверской бульвар, МХАТ им. М. Горького, Московский драматический театр им. А. С. Пушкина, Храм Апостола Иоанна Богослова. Парадная входная группа. Огороженная территория, охрана. Закрепленное машиноместо во дворе.
Ждем Вас на показе.
Участник ассоциации AREA, 10 фото</t>
  </si>
  <si>
    <t>https://www.cian.ru/sale/flat/304866267</t>
  </si>
  <si>
    <t>Москва, Малая Бронная улица, 44</t>
  </si>
  <si>
    <t>064971 ЖК Патриарх
Эксклюзив!  Просторная 5-комнатная квартира площадью 413 м² с французскими балконами, панорамными видами на Патриаршие пруды и дровяным камином — настоящее воплощение роскоши и комфорта в сердце престижного района.
Основные особенности квартиры: светлая гостиная 75 м² с радиусными панорамными окнами, дровяным камином и видом на легендарные Патриаршие пруды; элегантная кухня-столовая 34 м² для семейных ужинов и встреч с друзьями; гардеробная 37 м², которая может служить гостевой спальней или рабочим пространством; мастер-спальня 56 м² с просторной гардеробной и окнами в ванной комнате для максимального уюта; две детские спальни, одна из которых с эффектным стеклянным эркером, каждая со своим санузлом и душевой кабиной; подсобные помещения: гостевой санузел, постирочная комната и холл с вместительной гардеробной.
Дизайнерский ремонт выполнен с использованием натурального камня и ценных пород дерева, создавая атмосферу изысканности. Остекление на четыре стороны обеспеч ..., 32 фото</t>
  </si>
  <si>
    <t>https://www.cian.ru/sale/flat/320499470</t>
  </si>
  <si>
    <t>Москва, Большой Патриарший переулок, 4</t>
  </si>
  <si>
    <t>195060
4-комнатные апартаменты 109,2 кв. м на Патриках.
Планировка: кухня, гостиная, две спальни, кабинет, ванная комната с душевой кабиной.
Для жителей дома предусмотрена парковка за шлагбаумом.
Прямой представитель собственника.
Участник ассоциации AREA, 15 фото</t>
  </si>
  <si>
    <t>https://www.cian.ru/sale/flat/327031387</t>
  </si>
  <si>
    <t>163562 ЖК Малая Бронная, 15
В продаже новая роскошная квартира площадью 137 м² в клубном доме на Малой Бронной, в лучшей части знаменитых "Патриков"!
Планировка: просторная кухня-гостиная с арочными панорамными окнами, две полноценные мастер-спальни - каждая со своей личной ванной комнатой и системами хранения, большая гардеробная, гостевой санузел, сервисное помещение.
Интерьер квартиры выполнен в неоклассическом стиле с использованием дорогих, натуральных материалов - мрамора благородных оттенков, дуба. Кухня полностью укомплектована бытовой техникой Gaggenau. Гардины Loro Pianа, мебель Longhi и Rugiano, кожаные аксессуары Pinetti и Bork - создают элегантный стиль квартиры, подчеркивая утонченный и взыскательный вкус владельца. Комфорту и удобству жизни способствуют: система умный дом, приточно - вытяжная вентиляция с 2ух-ступенчатой структурой очистки воздуха, индивидуальное увлажнение воздуха, многоуровневая система подготовки и фильтрации воды.
Квартира была приобретена под ли ..., 11 фото</t>
  </si>
  <si>
    <t>https://www.cian.ru/sale/flat/326356439</t>
  </si>
  <si>
    <t>Роскошная трехэтажная квартира площадью 188,5 м2 расположена в историческом доме по адресу: Большой Козихинский переулок, дом 27, строение 1.
На первом уровне предусмотрена гостиная с камином, кухня с постирочной, гостевой санузел и гардеробная.
На втором уровне: гостиная/кабинет, спальня с ванной комнатой и гардеробной.
На третьем уровне спланирован мастер-сьют площадью 53,8 м2 с камином, ванной комнатой и гардеробной.
Выполнен авторский ремонт в стиле Ralph Lauren. Ванные комнаты отделаны керамической плиткой в английском стиле и укомплектованы сантехникой от Imperial и Heritage. На светлой кухне установлена бытовая техника De Dietrich. В постирочной техника ASKO. Установлены кондиционирование Daikin и котел AEG.
Из окон открываются панорамные виды на Храм Христа Спасителя и район Патриаршие пруды.
Есть возможность приобрести машиноместо в соседнем здании.
Доходный дом Н. А. Серебрякова расположен в тихой части Патриарших прудов. После полной реконструкции все перекрытия желе ..., 16 фото</t>
  </si>
  <si>
    <t>https://www.cian.ru/sale/flat/330808116</t>
  </si>
  <si>
    <t>Код объекта: 2246341.
Эта история про статус.
Подтверждение того, что Вы добились много, очень много. И пусть Вы ещё в пути всё дальше наверх и вряд ли сможете остановиться - владение этой резиденцией сейчас станет Вашей заслуженной наградой.
Возможно, Вы мечтали когда-то давно об этой локации - Патриаршие пруды звучит невероятно гордо, но вместе с тем по-хорошему романтично и непременно свидетельствует о Вашем вкусе.
Возможно, у Вас мелькала мысль, что было бы приятно встречать утро с чашечкой чая или кофе на вершине мира, и вершина для Вас заключается далеко не в фактической высотой над уровнем моря.
Возможно, именно это Ваш шанс воплотить мечту, поставить жирную галочку и сказать себе "эта история про меня".
Резиденция не имеет аналогов - единственный круглый панорамный балкон с видом на пруд в историческом здании. Адрес говорит сам за себя: Малая Бронная — одна из самых узнаваемых улиц центральной части Москвы, сочетание культурного облика и развитой городской инфраструктуры д ..., 15 фото</t>
  </si>
  <si>
    <t>https://www.cian.ru/sale/flat/331900089</t>
  </si>
  <si>
    <t>Москва, Трехпрудный переулок, 8</t>
  </si>
  <si>
    <t>Трёхкомнатная квартира в одном из самых атмосферных домов старой Москвы — в Трёхпрудном переулке, в трёх минутах пешком от Патриарших. Историческая архитектура, высокий этаж, тишина двора и ощущение приватности, которое сегодня почти невозможно найти в центре.
Преимущества:
- Уникальное предложение в историческом доме
- Квартира благоустроена и готова к проживанию
- Высокие потоки делают пространство просторным и светлым
- Открытый балкон с кованым ограждением
Планировка: 
3 комнаты, кухня, прихожая, коридор и санузел, - возможна перепланировка. 
Отделка, выполненная в классическом стиле, создаёт в квартире комфорт и уют. Стены оформлены в светлых тонах, потолки высотой более 3.2 м. Кухня отделана кафельной плиткой, оборудована встроенной мебелью и техникой от фирм Bosch и Liebherr. Санузел раздельный, состоит из трех помещений. Установлены металлопластиковые окна и широкие подоконники. Выход окон в тихий уютный двор и внушительная толщина внешних стен обеспечивают спокойную и комфо ..., 8 фото</t>
  </si>
  <si>
    <t>https://www.cian.ru/sale/flat/330260237</t>
  </si>
  <si>
    <t>Роскошные апартаменты на пятом этаже клуба "У Патриарших"
Предлагается эксклюзивное пространство площадью 350 м² с четырьмя спальнями, расположенное на пятом этаже семиэтажного клубного дома "У Патриарших", всего в 9 минутах пешком от метро "Пушкинская". Это идеальный выбор для ценителей приватности, эстетики и высокого уровня жизни в центре Москвы.
Интерьер и комфорт
Апартаменты оформлены в нейтральной спокойной палитре с использованием благородных материалов — мрамора, оникса и травертина. Потолки высотой 3,2 м и панорамные окна "в пол" визуально расширяют пространство и наполняют его светом. Европейская мебель и техника создают уют и функциональность. Инновационная система "умный дом" позволяет управлять освещением, климатом и безопасностью дистанционно, а многоступенчатая фильтрация воздуха и воды обеспечивает максимальный комфорт и здоровье.
Планировка и функции
- Парадная прихожая с большой гардеробной и санузлом
- Полностью оборудованная кухня
- Просторная гостиная площадью 74 м ..., 27 фото</t>
  </si>
  <si>
    <t>https://www.cian.ru/sale/flat/327386186</t>
  </si>
  <si>
    <t>Неизменно популярные Патриаршие пруды и Малая Бронная! 
   Красивый фасадный дом, железобетонные перекрытия, парадный подъезд, лифт, парковка в закрытом дворе! 
   Восхитительная трехкомнатная квартира с высокими потолками, идеальной( и узаконенной) планировкой, с красивыми видами из окон, с элегантным, новым ремонтом, включающим полное оснащение мебелью и техникой.
Планировкой предусмотрено просторное пространство гостиной(53 м) с зоной приготовления, обеденной и отдыха, окна которой обращены на Малую Бронную, из которых открывается панорама на Храм "Большое Вознесение", на МИД и Сити. В части квартиры, которая обращена окнами в тихий двор, расположились 2 спальни с гардеробными зонами и 2 полные ванные комнаты. Доп.электромощность - 20 кВт. 
В квартире есть технический блок - постирочная с оборудованием Asco.
Свободная продажа., 26 фото</t>
  </si>
  <si>
    <t>https://www.cian.ru/sale/flat/328668977</t>
  </si>
  <si>
    <t>Москва, Малая Бронная улица, 17</t>
  </si>
  <si>
    <t>Лучший дом на Патриарших прудах! Железобетонные перекрытия, приятная входная группа, окна в тихий красивый двор, балкон! Дом по праву считается домом образцового содержания.
   Восхитительная 2-комнатная квартира с дорогим и очень качественным ремонтом. Все окна квартиры развернуты в тихий внутренний двор с закрытой, благоустроенной придомовой территорией и с парковкой. 
В квартире всегда много света, есть балкон c красивым арочным окном, здесь  в любое время дня и года тихо.
 Ремонт выполнен в светлых тонах с использованием высококачественных и натуральных материалов таких, как мрамор, дерево, здесь высокие потолки и высокие двери, а мебель и фурнитура были заказаны у ведущих итальянских фабрик. Квартира полностью оснащена всей мебелью. 
Патриаршие пруды - самый востребованный район города с максимально развитой инфраструктурой, тихими переулками, разнообразием ресторанов, кафе и магазинов. Кроме того, здесь в пешей доступности расположились лучшие школы и детские сады, клиники и куль ..., 16 фото</t>
  </si>
  <si>
    <t>https://www.cian.ru/sale/flat/328668891</t>
  </si>
  <si>
    <t>Москва, Большой Козихинский переулок, 8</t>
  </si>
  <si>
    <t>ID объявления: 576363 ПРЯМОЙ ПРЕДСТАВИТЕЛЬ СОБСТВЕННИКА ! ЭКСКЛЮЗИВ ! ОПЕРАТИВНЫЙ ПОКАЗ !  Уважаемые покупатели! Предлагаем Вашему вниманию просторную, функциональную четырех-комнатную квартиру площадью 119,3 м² в историческом доме на Большом Козихинском переулке. Информация о квартире: Метраж: 119,3 м² Этаж / этажность: 2 / 4 Планировочное решение: гостиная с камином, три спальни, кухня, два совмещённых санузла (джакузи + душевая кабина), холл с гардеробными шкафами Квартира полностью меблирована и оснащена всей необходимой бытовой техникой Отделка: классический стиль Особенности: Исторический дом 1917 года (архитектор Пиотрович) Одна квартира на этаже (всего 3 квартиры в подъезде), камерность и приватность Камин в гостиной Закреплённое машино-место во дворе Современные системы безопасности — видеокамеры в подъезде О доме и комплексе: Исторический дом после капитального ремонта Видеонаблюдение Закреплённое машино-место во дворе Презентабельный подъезд, малоквартирный дом Статусное окр ..., 11 фото</t>
  </si>
  <si>
    <t>https://www.cian.ru/sale/flat/329478523</t>
  </si>
  <si>
    <t>Москва, Малый Козихинский переулок, 16/3</t>
  </si>
  <si>
    <t>Номер лота: вт-0430670.
Великолепное расположение. Исторический центр самого популярного района Москвы - Патриаршие пруды. Предлагается уникальная 3-х комнатная, двухуровневая квартира с выходом на крышу. Высокие потолки, большие окна с закруглением, придают особую энергетику и свет пространству, позволяют воплотить любой дизайн-проект. Все окна выходят во двор. Комфортное планировочное решение включает: 
1 уровень - большая прихожая с окном, что позволяет сделать отдельную комнату,  просторную кухню-гостиную, санузел, кладовку.
 2 уровень - 2 спальни, санузел. 
Чистый подъезд, полная реконструкция с заменой перекрытий на железобетонные. Достойное соседство. В непосредственной близости от дома находятся лучшие рестораны и кафе Москвы, бутики, галереи, музеи, театры, изумительные скверы и бульвары для прогулок. Престижные школы, которые входят в ТОП 10 школ Москвы находятся в пешей доступности. Транспортная доступность Садового кольца и Тверского бульвара. В пешей доступности находят ..., 30 фото</t>
  </si>
  <si>
    <t>https://www.cian.ru/sale/flat/325977970</t>
  </si>
  <si>
    <t>Номер лота: вт-0434071.
 Исторический центр Москвы. Дом Наркомата путей сообщения. Лучшая часть дома, парадный подъезд, две квартиры на этаже. Предлагается к продаже просторная трёхкомнатная квартира. Выполнен дизайнерский ремонт с использованием натуральных качественных материалов. Функциональная планировка. Уютная гостиная, две большие изолированные, окна на три стороны, вид на особняк Зинаиды Морозовой. Пол- паркетная доска. Потолки 3 метра. 1,5 санузла, душевая кабина. Предусмотрены места для хранения вещей. В этом подъезде проживала Клавдия Шульженко. Парковка во дворе под шлагбаум. Рядом с домом Патриаршие пруды, театры, музеи, рестораны и многое другое. В пешей доступности три станции метро. Полная стоимость в договоре, свободная продажа. Без обременений.
 Содействие в получении специальных условий и преференций по ипотеке., 30 фото</t>
  </si>
  <si>
    <t>https://www.cian.ru/sale/flat/331670184</t>
  </si>
  <si>
    <t>Москва, Малая Бронная улица, 36</t>
  </si>
  <si>
    <t>Дизайнерское помещение на Патриарших прудах в историческом здании. Презентабельный фасад, вестибюль здания отделан натуральным камнем.
В советское время в здании была проведена полная реконструкция с заменой перекрытий и инженерии.
В помещении высокие потолки до 3,8 м, большие окна с панорамными виды на историческую часть города.
Реализуется без отделки. По желанию владельцев возможно выполнение дизайнерской отделки и меблировки в сопровождении ведущей архитектурной студии.
В непосредственной близости - самые модные и излюбленные места отдыха и прогулок москвичей и гостей столицы - Патриаршие пруды, Тверская улица, Тверской бульвар, Концертный зал им. Чайковского, Булгаковский дом и другие достопримечательности Москвы, а расстояние до Кремля всего 2 км., 9 фото</t>
  </si>
  <si>
    <t>https://www.cian.ru/sale/flat/329142414</t>
  </si>
  <si>
    <t>Дизайнерская студия на Патриарших прудах в историческом здании. Презентабельный фасад, вестибюль здания отделан натуральным камнем. 
В советское время в здании была проведена полная реконструкция с заменой перекрытий и инженерии.
В студии высокие потолки до 3,8 м, большие окна с панорамными виды на историческую часть города.
Выполнена дизайнерская отделка в современном стиле с элементами лофт.
В непосредственной близости -  самые модные и излюбленные места отдыха  и прогулок москвичей  и гостей столицы - Патриаршие пруды, Тверская улица, Тверской бульвар, Концертный зал им. Чайковского, Булгаковский дом и другие достопримечательности Москвы, а расстояние до Кремля всего 2 км., 8 фото</t>
  </si>
  <si>
    <t>https://www.cian.ru/sale/flat/329142335</t>
  </si>
  <si>
    <t>Москва, Малый Козихинский переулок, 8/18</t>
  </si>
  <si>
    <t>Арт. 134684322 СПЕЦИАЛЬНО для наших клиентов ставка на ипотеку от банка партнера  11,9 %!
Продается  3-комнатная квартира в доме с богатой историей,  60 м² с косметическим  ремонтом  рacпoлoженa на 2 этaже 4-этaжнoго киpпичного дома, пocтpоeннoгo в 1906 году по прoeкту арxитeктopа П.B. Xарко для купцa B.Н. Cуббoтина. Считается, что имeннo в этом домe Миxaил Булгакoв поселил свою Аннушку. Отличительной чертой этого здания является его уютный двор-колодец. В 2011 году был капитальный ремонт здания.
Планировка: жилая площадь — 39.2 м², кухня — 8 м². Высота потолков —  3,5  метра
Документы: 
* 2 взрослых  собственника
* Обременений нет
Преимущества квартиры: 
Просторная кухня 8 м
Совмещенный санузел
Окна выходят на улицу
Квартира предлагается под чистовую отделку, что дает вам возможность воплотить все ваши дизайнерские идеи и создать пространство вашей мечты
Кирпичная постройка обеспечивает отличную звукоизоляцию и теплоизоляцию, а также долговечность конструкции
Выcoтa пoтолкoв - 3, ..., 16 фото</t>
  </si>
  <si>
    <t>https://www.cian.ru/sale/flat/329090847</t>
  </si>
  <si>
    <t>Предлагается к продаже изысканная двухкомнатная квартира в одной из самых привилегированных локаций Москвы — на Патриарших прудах, в тихой и камерной части района.
Дом кооператива Кремлевский работник — знаковое историческое здание с безупречной репутацией и особой интеллигентной средой.
Квартира общей площадью 50 кв.м. отличается продуманной планировкой: просторная гостиная, отдельная кухня, приватная спальня с гардеробной, а также ванная комната с окном и балкон с панорамным видом — редкое преимущество для центра столицы.
Интерьер выполнен в авторской концепции в духе 60-х годов: утончённый винтаж, оригинальные предметы мебели и декора, создающие атмосферу эстетики и уюта с характером.
Пространство полностью готово к проживанию и оснащено современной техникой : посудомоечная машина, духовой шкаф с функцией микроволн, измельчитель отходов, стирально-сушильная машина Miele, винный шкаф. 
Идеальное предложение для ценителей архитектурного наследия, приватности и безупречного стиля  ..., 24 фото</t>
  </si>
  <si>
    <t>https://www.cian.ru/sale/flat/329268421</t>
  </si>
  <si>
    <t>Москва, Ермолаевский переулок, 18А</t>
  </si>
  <si>
    <t>Вашему вниманию предлагается просторная трехкомнатная квартира в одной из наиболее востребованных локаций Москвы — в пешей доступности от Патриарших прудов.
В 2022 году проведена полная реконструкция квартиры - капитальный ремонт с заменой всех коммуникаций. Выполнены стяжка пола с нуля и возведение новых перегородок. Чистовая отделка выполнена с использованием паркетной доски в жилых зонах и керамической плитки в кухне, прихожей и ванной комнате. Для комфорта предусмотрены системы теплый пол в прихожей и ванной комнате, а также кондиционирование в изолированных помещениях.
Функциональная планировка
Спальня с кроватью 180*200, диваном и удобной гардеробной.
Детская комната, которую можно переделать в кабинет, так как фасады мебели при желании меняются.
Гостиная с зоной для просмотра фильмов и барной стойкой из массива и барными стульями.
Отдельная рабочая зона у окна с большим столом.
Кухня 12 м², со всей необходимой техникой.
Совмещенный санузел с просторной душевой зоной.
Прихожая  ..., 24 фото</t>
  </si>
  <si>
    <t>https://www.cian.ru/sale/flat/328540478</t>
  </si>
  <si>
    <t>В самом сердце исторического центра Москвы, в престижном районе Патриарших прудов, на тихой Большой Бронной улице, предлагается светлая однокомнатная квартира. Локация - знаковое место, где история переплетается с современной городской жизнью.
Один из ключевых моментов - полностью укомплектованное пространство: качественный ремонт был выполнен недавно, квартира полностью меблирована, предусмотрены встроенные системы хранения. Мебель и техника могут остаться по согласованию, идеальный вариант для тех, кто ценит своё время и хочет начать жить в центре столицы без дополнительных хлопот.
Пространство квартиры продумано до мелочей. Функциональная планировка включает просторную гостиную, спальню, отдельную кухню, санузел и лоджию. Все перепланировки официально зарегистрированы. 
Интерьер выполнен в светлых, спокойных тонах, визуально расширяя пространство и наполняя его светом. Ремонт подразумевает высококлассную отделку и исправное состояние всех инженерных коммуникаций. Этажность гарант ..., 35 фото</t>
  </si>
  <si>
    <t>https://www.cian.ru/sale/flat/330961021</t>
  </si>
  <si>
    <t>ПРЯМОЙ ПРЕДСТАВИТЕЛЬ СОБСТВЕННИКА! БОНУС БРОКЕРАМ!
Предлагается в продажу 3-комнатная квартира на Патриарших прудах по адресу: Малый Козихинский пер., 14, ЦАО, р-н Пресненский.
Функциональная планировка квартиры: гостиная-столовая-кухня, спальня с гардеробным блоком, гостевая комната, просторная лоджия, 2 совмещенных с/у (один с душевой кабиной, второй с ванной), холл. Высокие потолки 3,1. Есть застекленный балкон с видом во двор. Хороший ремонт. Квартира меблирована и укомплектована всей необходимой техникой.
Дом с огороженной территорией, круглосуточной охраной и консьерж-сервисом. Есть подземный паркинг с автомобильным лифтом. Развитая инфраструктура района: рестораны, продуктовые магазины, детские сады и школы, медицинские учреждения, антикварный салон, салоны красоты, аптеки, ателье, бутики, скверы и парковые зоны. Удобная транспортная доступность, быстрый выезд на Садовое кольцо и в сторону Арбата. Ст. м. Тверская, Пушкинская, Маяковская, Чеховская в пешей доступности., 14 фото</t>
  </si>
  <si>
    <t>https://www.cian.ru/sale/flat/327316916</t>
  </si>
  <si>
    <t>Москва, Малая Бронная улица, 25</t>
  </si>
  <si>
    <t>Предложение, у которого нет аналогов: исключительная локация, великолепное качество и выгодная стоимость позволяют считать этот объект поистине уникальным!
  Богатство интерьера подчеркивают натуральные материалы: шпон на стенах, дубовый паркет. Целые слэбы мрамора разрезались для того, чтобы использоваться в напольном, настенном покрытиях и частях элементов декора.
  Планировка включает в себя:
-просторную зону кухни-гостиной с обеденной зоной;
-мастер-блок со спальной зоной, кабинетом, гардеробной и мастер-санузлом (ванная, душевая, парные раковины);
-детскую спальню с зоной хранения и санузлом;
-детскую спальню (или кабинет/гостевую спальню).
  Итого: 3 спальни, 3 санузла.
  Техническое наполнение:
-техника Miele (Холодильники, винный шкаф, кофемашина, вытяжка, робот-пылесос, стиральная машина, гладильная система);
-аудиосистема Bang&amp;Olufsen;
-в санузлах - техника Villeroy&amp;Boch, умные унитазы с подогревом;
-освещение ЦентрСвет;
-диван BoConcept, мягкая мебель Cattelan Italia и д ..., 21 фото</t>
  </si>
  <si>
    <t>https://www.cian.ru/sale/flat/329000365</t>
  </si>
  <si>
    <t>Москва, Малая Бронная улица, 32</t>
  </si>
  <si>
    <t>ID 14619. Уникальное предложение в историческом центре Москвы.
Вашему вниманию предлагается редкая по своим характеристикам квартира в легендарном доходном доме Вешнякова (ул. Малая Бронная, 32). Здание, возведенное в 1912 году по проекту зодчего И.Г. Кондратенко, признано архитектурной жемчужиной и является выявленным объектом культурного наследия в самом сердце столицы.
Просторная резиденция расположена в историческом 6-этажном кирпичном доме камерного типа (всего 21 квартира).
Эргономичное пространство разделено на функциональные зоны:
- уютная гостиная, столовая и кухня.
- мастер-спальня с собственной ванной комнатой и гардеробной, две гостевые спальни и вторая гостевая ванная комната.
Высота потолков: 3.40 м.
Дом оборудован современным лифтом (установлен в 2011 году).
Престижное окружение и безупречная транспортная доступность. Тихий переулок в двух шагах от Патриарших прудов, Тверской улицы и лучших ресторанов Москвы. Станции метро Маяковская, Пушкинская и Тверская находятся в ..., 23 фото</t>
  </si>
  <si>
    <t>https://www.cian.ru/sale/flat/327109927</t>
  </si>
  <si>
    <t>Москва, Большая Бронная улица, 2/6</t>
  </si>
  <si>
    <t>Малая Бронная 2/6 | Москва
Продаётся квартира площадью 90 м² в одном из самых атмосферных адресов Москвы — в двух шагах от Патриарших прудов.
О квартире:
— Просторная гостиная с панорамным остеклением
— 2 спальни
— Постирочная
— Кухня с классическими фасадами и натуральным мрамором
— Ванная с мозаичной плиткой и латунной фурнитурой
— Отделка из натуральных материалов: мрамор, массив дуба, латунь
Преимущества дома:
— Историческое расположение на Малой Бронной
— Панорамный вид на зелёные кварталы и Москва-Сити
— Закрытый двор, консьерж, охрана
— Пешая доступность до м. Пушкинская, Тверская, Маяковская
— Рестораны, галереи и Патриаршие пруды в шаговой доступности
IMMER | Бронная 16, 26 фото</t>
  </si>
  <si>
    <t>https://www.cian.ru/sale/flat/331118780</t>
  </si>
  <si>
    <t>Москва, Большая Бронная улица, 7</t>
  </si>
  <si>
    <t>Предлагается к продаже трехкомнатная квартира в кирпичном доме в районе Патриарших прудов. В  доме в 1952 году была сделана реконструкция с заменой межэтажных перекрытий на железобетонные, добавили лифты. Фасадный дом в современном классическом стиле, окна квартиры выходят в тихий двор. До метро Тверская, Пушкинская, Чеховская - 7 минут, до Арбатской 11 минут пешком.
Удобная и функциональная планировка: гостиная, объединенная с кухней, две спальни, одна из которых с собственной гардеробной, совмещенный санузел с душем и прихожая с вместительным встроенным шкафом. Высокие потолки. Дизайн квартиры в кремовых оттенках - светлая и уютная.
Выполнен капитальный ремонт по дизайн-проекту высококачественными и экологически чистыми отделочными материалами, смонтирована новая армированная стяжка, вся проводка поменяна на современную и безопасную, заменены стояки отопления и водоснабжения. Каждая комната, а также кухня-гостиная оборудована сплит системами кондиционирования. Установлены датчики про ..., 22 фото</t>
  </si>
  <si>
    <t>https://www.cian.ru/sale/flat/239369495</t>
  </si>
  <si>
    <t>Москва, Малая Бронная улица, 16</t>
  </si>
  <si>
    <t>Престижный Пресненский район, в шаге от Тверской, Патриарших прудов и сада "Аквариум". Отличная транспортная доступность, развитая инфраструктура, элитные кафе и рестораны., 1 фото</t>
  </si>
  <si>
    <t>https://www.cian.ru/sale/flat/330947220</t>
  </si>
  <si>
    <t>Москва, Большая Бронная улица, 8</t>
  </si>
  <si>
    <t>Продается уютная трехкомнатная квартира в историческом центре Москвы, на Большой Бронной улице.  Квартира расположена на 2 этаже 6-этажного кирпичного дома, построенного в 1927 году. Высота потолков — 3.2 метра, что придает пространству дополнительный объем. До станции метро "Тверская" всего 7 минут пешком, что делает это предложение особенно привлекательным для ценителей городской жизни.
В квартире сделан дизайнерский ремонт, с заменой перекрытий/полов по проекту. Перепланировка узаконена .  Камеры внешнего наблюдения с видеомонитором. Металлическая  сейфовая  дверь.  Установлены окна из натурального дерева светлый дуб  ,  в ванной светлая сосна  окно -для влажного помещения . На всех окнах с внешней стороны установлены жалюзи металлические электрические . Каждый метр квартиры использован,  много подсобных помещений . В мастер спальне имеется просторная хорошо спроектированная гардеробная комната  . Двери , плинтусы, шкафы деревянные сделаны одним мастером по индивидуальному  проекту. ..., 17 фото</t>
  </si>
  <si>
    <t>https://www.cian.ru/sale/flat/329534496</t>
  </si>
  <si>
    <t>Продается уютная четырехкомнатная квартира в историческом кирпичном доме, построенном в 1938 году. Общая площадь квартиры — 81.8 кв. м, жилая площадь — 60 кв. м, кухня — 12 кв. м. Квартира расположена на первом этаже девятиэтажного дома. Высокие потолки 3 метра создают ощущение простора и света. До станции метро Баррикадная всего 11 минут пешком. Также в ближайшей доступности станции Арбатская и Тверская.
В квартире выполнен косметический ремонт, что позволит вам сразу переехать и обживаться. Все комнаты светлые и просторные, в каждом помещении квартиры, есть окно! Даже в ванной!
За счёт чего планировку квартиры можно переиграть на свой вкус, например сделать большую кухню-гостиную или объединить две комнаты слева, сделав одно, большое пространство.
Окна выходят во двор, что обеспечивает тишину и спокойствие. Кухня достаточно большая, чтобы разместить обеденную зону. Санузел раздельный, что удобно для большой семьи. 
Дом находится в ухоженном состоянии, в подъезде установлен пассажир ..., 48 фото</t>
  </si>
  <si>
    <t>https://www.cian.ru/sale/flat/325461294</t>
  </si>
  <si>
    <t>Предлагается на продажу атмосферная 5-комнатная квартира в историческом центре Москвы на первой линии знаменитых Патриарших прудов, по адресу ул. Малая Бронная д.32. Расположена на 4 этаже из 6. Общая площадь 122,8 кв.м. Квартира уютная и очень светлая, в отличном состоянии. Выполнен уникальный авторский ремонт. Планировка: просторная прихожая квадратной формы; гостиная /обеденная зона и кухня со сквозным проходом, могут быть легко объединены или изолированы за счёт раздвижных дверей; кабинет и две раздельные спальни, одна из которых с санузлом и гардеробной; две ванные комнаты (в одной расположена постирочная зона). При входе в квартиру есть большой встроенный шкаф. Высокие потолки 3,30 м. Большие окна с широкими мраморными подоконниками. Все окна выходят в тихий двор, что обеспечивает полную тишину в квартире. Пол в комнатах выложен паркетом - массив экзотического дерева балау; в зоне прихожей, кухне и санузлах - плитка. 
Красивый фасадный дом 1912 года постройки, клубный формат все ..., 46 фото</t>
  </si>
  <si>
    <t>https://www.cian.ru/sale/flat/322268201</t>
  </si>
  <si>
    <t>ID 64945: Воздушная трёхкомнатная квартира с ж/б перекрытиями в самом сердце Патриарших прудов. С высотой потолков 3,4 метра и безупречной отделкой в современном стиле пространство наполнено светом и элегантной лёгкостью. Нейтральная белая палитра послужила идеальным фоном для сочных акцентов в авторской мебели и декоре.
Планировка продумана для комфортной жизни: просторная кухня-гостиная, изолированная мастер-спальня с гардеробной и собственной ванной, вторая спальня и дополнительный санузел. Все материалы премиум-класса: инженерная доска, бесшумные стеклопакеты и система климат-контроля. Все окна спален обращены во двор -  в квартире очень тихо! 
Дом с аккуратными входными группами и лифтом. Во дворе за шлагбаумом организована парковка для жильцов. 
В 5 минутах ходьбы - умиротворяющая гладь Патриаршего пруда, а вокруг - культурно-досуговая жизнь исторического центра столицы: музеи, театры, множество атмосферных гастробаров и ресторанов. 
ПРЯМОЙ ПРЕДСТАВИТЕЛЬ СОБСТВЕННИКА.
ОПЕ ..., 21 фото</t>
  </si>
  <si>
    <t>https://www.cian.ru/sale/flat/325665635</t>
  </si>
  <si>
    <t>ID 65240: ЖК Патриархальный особняк. Клубный элитный дом в районе Патриарших Прудов, всего на 21 квартиру. Предлагается великолепная квартира 120 м2 на 4 этаже/ 7 этажного дома. В доме круглосуточная охрана, красивый вестибюль и закрытый внутренний двор с детской площадкой и ландшафтным оформлением  только для жителей дома. Квартира прекрасно спланирована, в ней просторная кухня-столовая и гостиная общей площадью 50 м2, две изолированные спальни, каждая со своей остекленной лоджией, две ванные комнаты и гардеробная. Особую изысканность придает большой полукруглый эркер в гостиной. Высокие потолки и большие окна добавляют комфорт и гармонию. Вся мебель была выполнена на заказ. Квартира полностью меблирована и готова к заселению. В подземном паркинге можно купить м/место за дополнительную цену. Один взрослый собственник, свободная продажа.  
Дом прекрасно расположен, с одной стороны это престижный и статусный район с лучшими ресторанами и бутиками, по соседству с архитектурными шедеврами ..., 14 фото</t>
  </si>
  <si>
    <t>https://www.cian.ru/sale/flat/329360928</t>
  </si>
  <si>
    <t>Москва, Тверской бульвар, 3</t>
  </si>
  <si>
    <t>Жить на Патриарших с окнами в тихий сквер и с собственным машиноместом во дворе - нереально?! Прошу...
     Квартира, уровень отделки, сочетание мебели и дизайнерских решений которой, не могут оставить равнодушной самую требовательную хозяйку.  Дом 1986 года постройки с консьержем и видеонаблюдением, закрытый огороженный двор. Дизайнерский ремонт и современная мебель, гардеробная, бойлер, потолки 3 метра, выделенное машиноместо во дворе за шлагбаумом и раздвижными воротами.
     Все окна выходят во внутренний двор. Абсолютная тишина и спокойствие, панорамный вид на музей и церковь. В пешей доступности м. Тверская, Баррикадная, Арбатская., 19 фото</t>
  </si>
  <si>
    <t>https://www.cian.ru/sale/flat/331453986</t>
  </si>
  <si>
    <t>Москва, Тверской бульвар, 17С1</t>
  </si>
  <si>
    <t>Альтернатива подобрана! Идеальные документы, квартира в одной семье с 80х годов, с 2018 года 1 собственник(средних лет). Уютная свежая квартира в тихой части знаменитого района. Потолки 3,2м! Интеллигентные дружные соседи, в подъезде всего 7 квартир, парковка во дворе. 
Прекрасное место для жизни., 14 фото</t>
  </si>
  <si>
    <t>https://www.cian.ru/sale/flat/331386857</t>
  </si>
  <si>
    <t>Москва, Трехпрудный переулок, 11/13С2</t>
  </si>
  <si>
    <t>КЛЮЧИ!!!!Просмотры по договоренности.  БЫСТРЫЙ выход на сделку, свободная продажа!  Предлагается на продажу великолепная трехкомнатная квартира с использованием натуральных материалов. Функциональная планировка: просторная гостиная с кухней, которая полностью оснащена мебелью и бытовой техникой. Спальня с гардеробной комнатой и санузлом, ванна. Кабинет. Гостевой санузел, душевая кабина. Хозяйственная-постирочная комната. Гардеробная комната. Квартира очень уютная, окна выходят во двор.  Высокие потолки - 3,3 м.  Просторный, парадный подъезд с консьержем. Охраняемая парковка в закрытом дворе, въезд через шлагбаум. Патриаршие пруды расположены всего в 4 минутах пешком от дома. До станций метро Пушкинская и Маяковская 8 минут пешком. В непосредственной близости от дома находятся лучшие рестораны и кафе Москвы, бутики, галереи, музеи, изумительные скверы и бульвары для прогулок., 29 фото</t>
  </si>
  <si>
    <t>https://www.cian.ru/sale/flat/329866810</t>
  </si>
  <si>
    <t>Москва, Большой Козихинский переулок, 19/6</t>
  </si>
  <si>
    <t>Лот 56905. Валуева Евгения.
На продажу предлагается светлая 3-х комнатная квартира в историческом центре Москвы. Функциональная планировка: уютная гостиная, объединенная с кухней, 2 спальни, гардеробная, 2 санузла. Квартира полностью меблирована и полностью укомплектована встроенной бытовой техникой, в отделке использованы материалы европейских производителей, готова к проживанию. Развитая инфраструктура, удобная транспортная доступность. Свободная продажа, взрослый собственник.
Бонус партнерам 50%.
Есть презентации в pdf на русском или английском для партнеров. Член ассоциации агентств элитной недвижимости AREA., 16 фото</t>
  </si>
  <si>
    <t>https://www.cian.ru/sale/flat/302552929</t>
  </si>
  <si>
    <t>Лот 50000. Оксана Мартынова.
Эксклюзив подписан. На продажу предлагается стильная 4-комнатная квартира в самом центре Патриарших прудов. Функциональная планировка: 
1 этаж: просторная кухня-гостиная, мастер-спальня с гардеробной и санузлом, спальня с гардеробной, санузел
2 этаж: спальня, гардеробная, санузел, кладовые. В квартире выполнен высококачественный ремонт, проведены новые коммуникации по электрике и сантехнике, квартира полностью готова к проживанию. Паркинг стихийный во дворе. Окна ориентированы на две стороны. В 2027 году в доме установят лифт. Один совершеннолетний собственник. Показ по предварительной договоренности.
Бонус партнерам 50%.
Есть презентации в pdf на русском или английском для партнеров. Член ассоциации агентств элитной недвижимости AREA., 18 фото</t>
  </si>
  <si>
    <t>https://www.cian.ru/sale/flat/328431118</t>
  </si>
  <si>
    <t>Москва, Малый Козихинский переулок, 4</t>
  </si>
  <si>
    <t>Код объекта: 2140430.
Продаётся уютная 1-комнатная квартира в историческом кирпичном доме 1905 года (архитектор С. Шуцман, стиль модерн: украшают эркеры и балконы; барельефы; лепные элементы.) рядом с Патриаршими прудами.
Характеристики:
 • Общая площадь 45.6 м², жилая 17.5 м², кухня 16 м².
 • 2-й этаж из 5, пассажирский лифт, потолки 3.2 м.
 • Косметический ремонт — можно сразу заселяться.
 • Окна выходят на тихую улицу Патриарших Прудов.
 • Раздельный санузел, мусоропровод.
 • Общественная парковка и места во дворе.
Локация: рядом школы, сады, клиники, магазины, рестораны, театры. До метро 10 минут пешком.
Условия: без обременений, 1 собственник, полная стоимость в ДКП.
Показ по договорённости. Приходите смотреть!, 5 фото</t>
  </si>
  <si>
    <t>https://www.cian.ru/sale/flat/329176697</t>
  </si>
  <si>
    <t>Москва, Вспольный переулок, 16С1</t>
  </si>
  <si>
    <t>Код объекта: 2193325.
Уникальное предложение в одном из самых престижных районов Москвы! Продаётся однокомнатная квартира площадью 35 кв. м. в доме по адресу Вспольный переулок, 16с1.
Квартира с современным ремонтом и удобной планировкой: жилая площадь — 18 кв. м, кухня — 7 кв. м. Совмещённый санузел добавляет функциональности пространству. Хорошие соседи.
Есть парковка на около домовой территории со шлагбаумом.
Близость к центральным улицам и основным транспортным магистралям обеспечивает отличную транспортную доступность. В пешей доступности находятся станции метро Баррикадная, Маяковская, Пушкинская, что позволяет быстро добраться до любой точки города. Рядом с домом есть всё необходимое для комфортной жизни: магазины, кафе, спортивные клубы и другие объекты инфраструктуры.
Эта квартира — идеальный выбор для тех, кто ценит комфорт и удобство, шаговую доступность ко всем культурным развлечениям в центре Москвы и одновременно тишиной. Не упустите шанс стать владельцем недвижимости  ..., 5 фото</t>
  </si>
  <si>
    <t>https://www.cian.ru/sale/flat/330583368</t>
  </si>
  <si>
    <t>Лот 169681. ЖК "Малая Бронная 31/13" - Уникальное предложение! 
Эксклюзивная квартира общей площадью 189 кв.м на Патриарших прудах с необычным балконом-террасой и видами на Пруд.
Абсолютно новый, дорогой, эксклюзивный и качественный ремонт выполнен в современном стиле с элементами классики в светлых теплых оттенках с нежными голубыми деталями в декоре. Квартира полностью меблирована и оборудована.
Гармония пространства и архитектурных решений  основа роскошного интерьера. Огромное количество окон и очень необычная, абсолютно круглая комната - спальня, которую по периметру опоясывает балкон-терраса.
Планировка: 
Кухня-гостиная: Благодаря продуманной планировке, кухня скрыта от глаз в гостиной, так как рабочая зона находится в нише, и дополнена красивым мраморным островом, переходящим в обеденный стол. 
Вход в спальню со скрытой дверью задекорирован деревянными панелями.
Для визуального зонирования пространства гостиной от проходной зоны холла применили декоративные элементы: мрамор на  ..., 30 фото</t>
  </si>
  <si>
    <t>https://www.cian.ru/sale/flat/314140879</t>
  </si>
  <si>
    <t>Москва, Малая Бронная улица, 10С2</t>
  </si>
  <si>
    <t>Предлагаем свежеотремонтированную квартиру 95м2 на Патриарших прудах 
В малоквартирном историческом особняке, расположенном на второй линии домов.
Две спальни,  гардеробная, гостевой санузел, основной санузел, кухня+гостиная объединенное пространство. 
Много окон, камин.
Полный капитальный ремонт, железобетонные перекрытия  качественные материалы, все новое коммуникации и инженерия.
Подъезд красиво отремонтирован парковка в закрытом дворе. Квартира меблирована и укомплектована техникой.
Дом был построен в 1900гг. в стиле модерн для московского мецената и предпринимателя В.И. Якунчикова.
Альтернативная продажа (квартира подобрана)
Понятные документы, никаких обременений., 28 фото</t>
  </si>
  <si>
    <t>https://www.cian.ru/sale/flat/327480368</t>
  </si>
  <si>
    <t>Код объекта: 2220860.
Редкая квартира 120,7 м² на Патриарших — исторический дом, дизайнерский интерьер!
Квартира в одном из самых престижных и комфортных районов Москвы. Дом расположен в Большом Патриаршем переулке, всего в нескольких шагах от знаменитого Патриаршего пруда — символа московского образа жизни. Тихий центр, историческая архитектура и развитая культурная среда делают эту локацию идеальной для жизни в городе.
Описание квартиры
 • светлая квартира площадью 120,7 м²
 • свежий дизайнерский ремонт
 • авторская гипсовая лепнина, фрески, премиальный паркет и плитка
 • встроенная мебель и техника остаются новому владельцу
 • идеальная планировка: кухня-столовая, гостиная-кабинет, 2 спальни, 2 гардеробные, 2 санузла и будуар
 • новые дубовые окна со стеклопакетами, выходят на две стороны: во двор и в тихий переулок — спокойствие и уединение
 • полностью обновлены системы водоснабжения, отопления и электрики, кондиционеры в каждой комнате
 • без лифта, зато с прямым видом на истор ..., 31 фото</t>
  </si>
  <si>
    <t>https://www.cian.ru/sale/flat/331201172</t>
  </si>
  <si>
    <t>Предлагается 2-х комнатная квартира на Патриарших! Комфортная планировка: спальня, кухня-гостиная, лоджия, с/у, совмещенный с ванной.  В квартире есть вся необходимая мебель и техника.
Дом расположен вдали от шумных дорог мегаполиса. Рядом Тверской бульвар для прогулок.  
Свободная продажа! Оперативный показ! Номер в базе: J21905, 8 фото</t>
  </si>
  <si>
    <t>https://www.cian.ru/sale/flat/331819352</t>
  </si>
  <si>
    <t>Продажа квартиры с авторской отделкой в районе Патриарших прудов.
Площадь 120,2 м2. 3 этаж.
Продуманная планировка: кухня-гостиная, мастер-спальня с кабинетом, ванной и гардеробной комнатами, вторая спальня с ванной комнатой, гостевой санузел, техническое помещение.
Выполнена дизайнерская отделка в стиле английской классики: натуральный паркет раскладки английская елка, метлахская плитка  орнамент ручной работы, английские обои, отреставрированная кирпичная кладка. Мебель от премиальных европейских брендов, бытовая техника Gaggenau, дорогая сантехника. 
Системы кондиционирования и приточно-вытяжной вентиляции.
В квартире высокие потолки 3,5 м и большие окна с приятными видами в тихий зеленый дворики на Малый Козихинский.
Жилой дом 1903 года постройки после полной реконструкции и реставрации.
Проведена реставрация фасада,  отремонтированы входная группа и подъезд.
В непосредственной близости находятся Патриаршие пруды, лучшие рестораны и кафе, бутики, галереи, музеи, театры, изумит ..., 24 фото</t>
  </si>
  <si>
    <t>https://www.cian.ru/sale/flat/331560860</t>
  </si>
  <si>
    <t>Москва, улица Спиридоновка, 12</t>
  </si>
  <si>
    <t>Лот: 108705.   КО-ЭКСКЛЮЗИВ.
На продажу предлагается роскошная двухкомнатная квартира площадью 116,8 кв.м. на Патриарших прудах. 
В квартире никто не жил. Выполнен новый высококачественный ремонт. 
Функциональная планировка: кухня-гостиная, спальня со своим санузлом, совмещенный санузел (стены мрамор, подогрев пола, бойлер), постирочная, прихожая, панорамная открытая лоджия. 
Высота потолков - 3,4 м. Из панорамных окон открываются прекрасные виды на Москву. 
Квартира полностью меблирована, в наличии вся необходимая бытовая техника для комфортного проживания. 
Машиноместо на наземном открытом паркинге. 
Охрана. Консьерж. Чистый подъезд с высокими потолками. 
Удобная транспортная доступность и развитая инфраструктура района.
Оперативный показ.
Участник ассоциации AREA., 25 фото</t>
  </si>
  <si>
    <t>https://www.cian.ru/sale/flat/304830583</t>
  </si>
  <si>
    <t>Лот: 9144. Сотрудничаем с риелторами. Бонус агенту. 
Двухуровневая квартира с эксклюзивным ремонтом в стиле модерн. Дорогой европейский ремонт, эксклюзивный дизайн. Удобная планировка. Просторная светлая гостиная с большими окнами и потолками 4,5 метра. Открытая кухня соединена со столовой. Большая гардеробная комната. Каждая спальня со своим с/у. Квартира полностью меблирована и оборудована. 
    Delight - участник ассоциации элитных агентств недвижимости АREA, 36 фото</t>
  </si>
  <si>
    <t>https://www.cian.ru/sale/flat/331675246</t>
  </si>
  <si>
    <t>Лот: 9099. Сотрудничаем с риелторами. Бонус агенту. 
Вашему вниманию предлагается 3-х комнатная квартира в районе Патриарших прудов.
Функциональная планировка: отдельная кухня, гостиная, 2 изолированные спальни. Окна спален выходят в тихий двор, кухня и гостиная с видом на Москву. 
В квартире выполнен косметический ремонт. Высокие потолки- 3 метра.
Жилой дом построен по индивидуальному проекту архитектора А.И. Ефимова, как жилищный кооператив "Кремлевский работник", в котором в разные периоды проживали такие знаменитости, как Валентина Серова, Юрий Любимов, Аркадий Райкин. Во дворе дома парковка для жителей дома.
Прекрасное расположение в историческом районе Москвы, Дом окружен усадьбами, особняками и памятниками архитектуры. Развитая инфраструктура, в пешей доступности: известные торговые галереи, бутики, рестораны, театры и музеи.
    Delight - участник ассоциации элитных агентств недвижимости АREA, 22 фото</t>
  </si>
  <si>
    <t>https://www.cian.ru/sale/flat/322208713</t>
  </si>
  <si>
    <t>Лот: 8584. Сотрудничаем с риелторами. Бонус агенту. 
Предлагается уютная 2-комнатная квартира в престижном районе - Патриаршие Пруды. 
Функциональная планировка: гостиная, кухня, спальня, совмещенный санузел. Квартира с  дизайнерский отделкой в современном стиле. 
Окна квартиры расположены на две стороны света. Высота потолков - 2,80 м. 
Большой балкон с видом в тихий двор. 
Чистый, ухоженный подъезд. Закрытая наземная парковкой.
Всего в нескольких минутах ходьбы расположена станция метро Тверская. Район отличается обилием уютных кафе и изысканных ресторанов, торговых галерей и супермаркетов, спортивных клубов и спа-салонов, престижных школ и детских садов, зеленых скверов и парков - все это составляет идеальное место для жизни в самом сердце столицы.
    Delight - участник ассоциации элитных агентств недвижимости АREA, 11 фото</t>
  </si>
  <si>
    <t>https://www.cian.ru/sale/flat/327479342</t>
  </si>
  <si>
    <t>Москва, Тверской бульвар, 9</t>
  </si>
  <si>
    <t>Лот: 8200. Вашему вниманию предлагаем замечательную квартиру 217.6 кв.м. (с учетом балкона 234 кв.м). 
Функциональная планировка: изолированная кухня, столовая, просторная гостиная с выходом на балкон, 4 спальни, 2 ванные комнаты, гардеробная, гостевой санузел, холл. 
Светлая квартира расположена в одном из лучших доходных домов Москвы И.М Коровина. Дом возведен по проекту архитектора Ивана Гавриловича Кондратенко в 1906 году. Очень атмосферная и интересная по духу квартира.
Ремонт выполнен дорогой, качественный. Воплощение безупречного вкуса: коллекции мебели от легендарных мировых брендов. Каждый предмет - не просто интерьер, а часть мировой культуры и безупречного вкуса.  
Высокие потолки 4.20 метра. Квартира ориентирована на 3 стороны света, во двор и на Тверской бульвар. 
В доме с деревянными перекрытиями создана железобетонная капсула: стальные швеллера и монолитная стяжка.
Великолепная входная группа, круглосуточная охрана, лифт. 
Парковка во внутреннем дворе. 
В пешей доступнос ..., 25 фото</t>
  </si>
  <si>
    <t>https://www.cian.ru/sale/flat/331284993</t>
  </si>
  <si>
    <t>Москва, Малый Патриарший переулок, 5С2</t>
  </si>
  <si>
    <t>Id 389669. СВОБОДНАЯ продажа. 
1 собственник
 Без обременений!
Теплый кирпичный дом расположен в тихом закрытом дворе с выходом на Патриаршие пруды!. Во дворе много зелени, детская площадка и Всегда беспроблемная парковка. Квартира распашной планировки  на комфортном 2м этаже. В квартире выполнен качественный ремонт в стиле минимализма с использованием дорогих экологичных материалов, произведена замена всех коммуникаций. В квартире имеются и гардеробная комната и кладовая, что позволяет хранить вещи, не загромождая жизненное пространство лишней мебелью. Звоните уважаемые коллеги и покупатели!, 10 фото</t>
  </si>
  <si>
    <t>https://www.cian.ru/sale/flat/329695775</t>
  </si>
  <si>
    <t>Предлагается к продаже  4-х комнатная квартира в премиальном историческом малоквартирном клубном доме . Презентабельная входная группа. Квартира обладает отличной планировкой: просторная  столовая, гостиная с эркером, детская, спальня, гардеробная. Много окон на 2 стороны. Высокие потолки. Закрытый двор, круглосуточная охрана, система видеонаблюдения. Очень тихо, уютный двор. Охраняемый паркинг. 
ДКП 2014 года. Свободная продажа., 26 фото</t>
  </si>
  <si>
    <t>https://www.cian.ru/sale/flat/326088716</t>
  </si>
  <si>
    <t>Москва, Трехпрудный переулок, 10/2</t>
  </si>
  <si>
    <t>Арт. 135512276 Предлагается к продаже уникальная 4-комнатная квартира в историческом тихом центре Москвы рядом с Патриаршими прудами.
Полностью меблирована и оборудована качественной бытовой техникой. Две спальни,  кабинет, просторная кухня - гостиная, два полноценных санузла, гардеробная комната.
В квартире выполнен дизайнерский ремонт из дорогих материалов в спокойном классическом стиле: дубовый паркет, двери - натуральный массив, окна - финские дерево-алюминиевые стеклопакеты с широкими мраморными подоконниками. Стены - краска. Три кондиционера.
Потолки 3 метра. Над квартирой расположена мансарда.  Имеется проект для переоборудования.
В доме выполнен капитальный ремонт с заменой всех коммуникаций. Во дворе закрытая парковка для жильцов.
В пешей доступности лучшие достопримечательности центра Москвы: музеи, театры, галереи, бутики, статусные образовательные учреждения. Зеленые скверы и бульвары для прогулок.
Собственность более 15 лет. Юридически и физически свободная.
Проверено Миэл ..., 26 фото</t>
  </si>
  <si>
    <t>https://www.cian.ru/sale/flat/329670424</t>
  </si>
  <si>
    <t>Москва, Малый Патриарший переулок, 5С1</t>
  </si>
  <si>
    <t>Свободная продажа! Прекрасная квартира с видом на Патриарший пруд. Просторная, уютная евро-двухкомнатная квартира (Кухня-гостинная и отдельная спальня). Так же, бонусом к квартире есть огромная оборудованная кладовка (винный погреб) , вход в нее непосредственно из квартиры. Кладовка порядка 15 кв.м., приятный бонус. Окна в кухне-гостинной смотрят на Патриарший пруд, а окно из спальни в уютный тихий закрытый дворик! На этаже всего две квартиры. 
Высоченные потолки, более трех метров. 
Парковка в закрытом дворике.
Просмотр по договоренности., 19 фото</t>
  </si>
  <si>
    <t>https://www.cian.ru/sale/flat/331391918</t>
  </si>
  <si>
    <t>Номер объекта: 575354. Изысканная 3-комнатная квартира площадью 137.1 кв.м. в премиальном клубном доме "Малая Бронная 15" у Патриарших прудов.
В квартире выполнена безупречная дизайнерская отделка с использованием дорогостоящих материалов. Планировочным решением предусмотрены: просторная гостиная с зоной кухни, 2 спальни с собственными санузлами, гардеробная, постирочная и гостевой санузел.
Квартира оборудована техникой Gaggenau, укомплектована мебелью премиальных брендов Longhi и Rugiano, текстиль от легендарного бренда Loro Piana. В квартире установлены климатическая система с индивидуальными режимом настройки, smart home, системы фильтрации воды, вентиляции, очистки и увлажнения воздуха.
Из окон квартиры открываются приятные виды на уютную Малую Бронную улицу. Высокие потолки 3.5 м.
В наличии машино-место в подземном паркинге за отдельную стоимость.
"Малая Бронная 15" - премиальный клубный дом, расположенный в 4 минутах пешком от Патриарших прудов. Фасад выполнен в неоклассичес ..., 27 фото</t>
  </si>
  <si>
    <t>https://www.cian.ru/sale/flat/325174504</t>
  </si>
  <si>
    <t>Евротрёшка с открытым балконом на Большой Бронной, 7 — редкое предложение у Патриарших. 
Распашная планировка — окна на две стороны: на тихую улицу и во двор. В квартире много воздуха, нет постоянного шума. В квартире выполнено грамотное зонирование: много мест для хранения, небольшой коридор и максимум площади для жилого пространства. 
Открытый балкон: утренний кофе с видом на центр Москвы, вечерний бокал вина на свежем воздухе, своя маленькая терраса в городе.
Формат евротрёшки: просторная кухня-гостиная для всей семьи и гостей и две изолированные спальни — идеальное решение для пары, семьи с ребёнком.
О доме
Кирпичный дом — комфортный микроклимат и хорошая звукоизоляция, проверенная временем. Аккуратный подъезд, солидные соседи, ощущение настоящего московского дома в престижном районе.
О локации: 
Рядом несколько школ: школа 57 - база для высшей школы экономики. Поблизости есть несколько детских садов с бассейном и хорошими воспитателями. В 7 минутах 3 станции метро. 
О докуме ..., 27 фото</t>
  </si>
  <si>
    <t>https://www.cian.ru/sale/flat/327280159</t>
  </si>
  <si>
    <t>Москва, Ермолаевский переулок, 14</t>
  </si>
  <si>
    <t>ШИКАРНАЯ просто квартира! Делайте в ней, что хотите. 
Нет несущих стен внутри квартиры. Можно объединить кухню с комнатой. А гостиную разделить на 2 изолированные комнаты. 
Реконструкция всего дома в 1982 году с полной заменой перекрытий на жб и установкой лифта внутри дома. Метлахская плитка на полу в парадной. Приятный вход. 
1 взрослый собственник. Более 5 лет в собственности. Полная стоимость в договоре. Без обременений. Без залогов и ипотек. СВОБОДНАЯ ПРОДАЖА. К сделке готовы. 
Подходит под ипотеку., 40 фото</t>
  </si>
  <si>
    <t>https://www.cian.ru/sale/flat/331598418</t>
  </si>
  <si>
    <t>Убедительная просьба к агентам - без клиента не звонить! 
Продается уютная трехкомнатная квартира в историческом доме сталинской постройки. Общая площадь — 53.5 кв. м, жилая — 35.1 кв. м, кухня — 7.2 кв. м. Квартира расположена на высоком первом этаже (бельэтаж) девятиэтажного дома. Высокие потолки более 3 метров создают ощущение простора. Отличное расположение: всего 10 минут пешком до метро "Пушкинская".
В квартире сделан косметический ремонт, что позволяет вам сразу въехать и жить. Удобная планировка: три изолированные комнаты, что подходит для семьи с детьми или тех, кто работает из дома. Санузел раздельный, окна выходят во двор, поэтому в квартире всегда тихо. 
Дом в хорошем состоянии, подъезд чистый, есть пассажирский лифт, что удобно для пожилых людей и молодых семей с колясками. Наземная парковка во дворе дома позволяет всегда найти место для автомобиля. 
Инфраструктура района развита: в шаговой доступности школы, детские сады, клиники и магазины. Это идеальное место для ком ..., 15 фото</t>
  </si>
  <si>
    <t>https://www.cian.ru/sale/flat/330943108</t>
  </si>
  <si>
    <t>Москва, Большой Козихинский переулок, 12/2</t>
  </si>
  <si>
    <t>Большой Козихинский 12/2 - дом со своей территорией, въезд под шлагбаум. 
Предлагается квартира общей площадью 171м2, Планировка: кухня-столовая с построчной, гостиная, 4 спальни, 3 ванные комнаты. 
Пол: инженерная доска, стены под покраску., 13 фото</t>
  </si>
  <si>
    <t>https://www.cian.ru/sale/flat/329125309</t>
  </si>
  <si>
    <t>Москва, Спиридоньевский переулок, 12/9</t>
  </si>
  <si>
    <t>Исторический центр Москвы. Пешком до нескольких центральных станций метро. Кирпичный дом индивидуального проекта .  Дом в отличном состоянии,  в ходе реконструкции установлен лифт, ремонт инженерных коммуникаций   был произведен в 2021г.  Чистый подъезд, без запахов и сырости . На этаже всего 2 квартиры. Квартира светлая, высота потолка 3.20, комнаты изолированные  . ,окна на разные стороны .Санузел раздельный,  Кухня-столовая 13.4 метра с двумя окнами с низкими подоконниками. Из окон открывается потрясающий вид на внутренний двор и переулок, Можно пешком прогуляться до Патриарших прудов и других достопримечательностей города.  Продажа по полной стоимости. Один собственник., 19 фото</t>
  </si>
  <si>
    <t>https://www.cian.ru/sale/flat/331756192</t>
  </si>
  <si>
    <t>Москва, Малый Козихинский переулок, 3</t>
  </si>
  <si>
    <t>Двухуровневый пентхаус над Патриаршими прудами
Клубный дом Мастер и Маргарита
Актив трофейного уровня в одной из самых дефицитных локаций Москвы с террасой и видами на Патриарший пруд - объект, который не имеет прямых аналогов на рынке и обладает высокой защитой капитала.
Площадь: 278 м² + терраса 85 м² Единственный пентхаус в доме. 
Высокая ликвидность, как ключевой инвестиционный фактор.
Патриаршие пруды - исторически самая устойчивая и дефицитная жилая локация центра Москвы. Ограниченное предложение новых объектов и 
невозможность масштабной застройки гарантируют 
стабильно высокий спрос в сегменте ultra-luxury, 
сохранение и рост стоимости даже в волатильные периоды.
Пентхаус сочетает сразу несколько редчайших характеристик, которые практически не встречаются одновременно:
двухуровневый формат,
приватный лифт в квартиру,
отсутствие соседей по периметру,
окна на четыре стороны света,
дровяные камины на каждом уровне,
высота потолков до 4,8 м,
открытая терраса 85 м² в центре город ..., 42 фото</t>
  </si>
  <si>
    <t>https://www.cian.ru/sale/flat/330842320</t>
  </si>
  <si>
    <t>ЖК Благовещенский 5.
Уютная 3-комнатная квартира с отделкой на 6 -м этаже. Общая площадь - 81,6 м2, на которых спланированы просторная гостиная, спальня, кабинет, кухня, холл, ещенныйсан.узел.  
Дом в Благовещенской переулке, 5 на 40 квартир (именно эта часть дома )был построен в 1948 году. В разные годы здесь проживали советский русский писатель Расул Гамзатов и советский артист эстрады Аркадий Райкин. Два светлых, отремонтированных подъезда с широкими лестницами и лифтами. Наземная парковка во внутреннем дворе. 
В 5-ти минутах ходьбы расположены театр имени Моссосета, Электротеатр Станиславский, Театр юного зрителя, сад Аквариум. До Патриарших прудов 7 минут пешком. Быстрый выезд на Садовое кольцо. До станции метро Маяковская дорога составит 3 минуты пешком, до станций метро Пушкинская и Тверская - 5 минут. 
Пожалуйста звоните, редко читаю сообщения в ЦИАН!, 26 фото</t>
  </si>
  <si>
    <t>https://www.cian.ru/sale/flat/311299339</t>
  </si>
  <si>
    <t>Москва, Малый Патриарший переулок, 3</t>
  </si>
  <si>
    <t>Продается уютная двухкомнатная квартира в сердце Москвы, на Малом Патриаршем переулке. Общая площадь составляет 62.8 кв. м, жилая — 40.9 кв. м, а кухня — 7.5 кв. м.,   Ж/Б ПЕРЕКРЫТИЯ. Квартира расположена на 2 этаже 9-этажного кирпичного дома. Высокие потолки в 3 метра. Окна выходят на Большой Патриарший переулок. Один взрослый собственник., 18 фото</t>
  </si>
  <si>
    <t>https://www.cian.ru/sale/flat/311098727</t>
  </si>
  <si>
    <t>Москва, Малый Козихинский переулок, 7</t>
  </si>
  <si>
    <t>Роскошная квартира с 2 террасами в клубном доме на Патриарших прудах. 
Камерный проект на 42 квартиры, 2004 год постройки. Круглосуточная охрана. 
Общая площадь квартиры 253,5 кв.м + 2 открытые террасы + балкон-терраса
Хаммам
Дизайнерская отделка завершена в 2025 году. Полное оснащение кухни и санузлов. 
Премиальная техника: V-ZUG, MIWELL HSL, COMBAIR-Steam SL, FOSTER, FHIABA. 
Коллекционный стол RIVA, куплен на аукционе SOTHEBYS. 
Панно на одной из стен - от известного российского скульптора Георгия Тандашвили. 
Панорамное остекление. 
Система Умный дом, немецкое остекление, 4-х камерные стеклопакеты с защитой от жары летом и холода зимой, обилие естественного света. 
Из окон открываются красивые виды на исторический центр города и в сторону Патриаршего пруда. 
Планировка: 
Кухня-столовая; 
Гостиная с выходом на террасу; 
Мастер-спальня с большой видовой террасой, ванной комнатой, гардеробной комнатой; 
Спальня 2 с балконом-террасой, зоной для гардеробной, ванной  комнатой;
Спальня  ..., 14 фото</t>
  </si>
  <si>
    <t>https://www.cian.ru/sale/flat/326233437</t>
  </si>
  <si>
    <t>Москва, Малая Бронная улица, 22С1</t>
  </si>
  <si>
    <t>Квартира с дизайнерским ремонтом на Патриарших прудах! 
Высота потолков 3.3
Эркер, панорамные окна
Премиальные материалы и бытовая техника
Продуманная планировка 
Фасадный дом 1913 года с Ж/Б перекрытиями. В 1988 году была полная реконструкция по спецпроекту с полной заменой перекрытий и коммуникаций, а также установкой лифта. Были сохранены лишь лестничные пролеты с уникальной авторской мозаикой. Земельный участок под зданием, двор и автопарковка - в собственности. Парковка во дворе., 21 фото</t>
  </si>
  <si>
    <t>https://www.cian.ru/sale/flat/325805406</t>
  </si>
  <si>
    <t>Роскошная 4-комнатная квартира 124 м2 с качественным ремонтам в сердце города!
Редкое предложение в культовом районе Москвы - ваша возможность жить среди истории и современного комфорта.
Почему это идеальный выбор:
- Современный ремонт: дубовый паркет, высокие потолки, дорогая отделка и продуманный дизайн;
- Умная планировка: 3 изолированные спальни (мастер-спальня с собственной ванной), просторная гостиная, укомплектованная кухня;
- Готовая квартира для жизни: остается почти вся мебель и техника;
- Легендарный район Патрики - дух старой Москвы, лучшие рестораны, бутики и салоны;
- Идеальная транспортная доступность: 7 минут до метро Тверская и Маяковская, возможность аренды двух машиномест во внутреннем дворе.
Вы должны лично увидеть эту квартиру! 
Один собственник, альтернатива. 
Звоните - на все вопросы отвечу по телефону!, 36 фото</t>
  </si>
  <si>
    <t>https://www.cian.ru/sale/flat/317018278</t>
  </si>
  <si>
    <t>Москва, Малая Никитская улица, 4С1</t>
  </si>
  <si>
    <t>Изумительные виды и невероятной красоты и качества отделка. 
В квартире реализован дизайнерский ремонт, с использованием исключительно натуральных высококачественных материалов. 
Квартира оснащена лучшей техникой и премиальной сантехникой от ведущих мировых производителей.
Планировка располагает к приятной жизни в самом сердце Москвы: великолепная гостиная с тремя окнами, из гостиной вы попадаете в гостевую комнату или кабинет, входная группа с гардеробом и просторная кухня, большой коридор с гостевым с/у и постирочной, и приватная мастер-спальня с эркерным окном, собственным с/у, с шикарной ванной и огромной гардеробной с окном. 
Квартира расположена в доме на пересечении Малой Никитской улицы и Тверского бульвара. 
Это красивое здание с эффектными входными группами, огороженная территория внутреннего двора, приятные подъезды с просторным лифтам.
Свободная продажа, полная стоимость в договоре купли-продажи, один взрослый собственник. 
Арт. 110818872, 34 фото</t>
  </si>
  <si>
    <t>https://www.cian.ru/sale/flat/331737254</t>
  </si>
  <si>
    <t>Лучшее предложение в ЦАО. Один взрослый собственник, полная стоимость в ДКП, быстрый выход на сделку, чистоту и прозрачность сделки гарантируем. Предлагается на продажу потрясающая 3-комнатная квартира в малоэтажном доме с собственным зеленым оазисом на Патриарших прудах. По планировке: кухня-гостиная, спальня, кабинет, детская комната, два санузла, лоджия. В квартире выполнен дизайнерский евроремонт, встроенный кухонный гарнитур со всей бытовой техникой включен в стоимость, мебель обсуждается. Территория дома огорожена, въезд по пульту, видеонаблюдение по периметру. Развитая инфраструктура. В непосредственной близости поликлиника, магазины, престижные школы и детские сады. Все культурные достопримечательности: театры, музеи, галереи, рестораны в нескольких шагах., 23 фото</t>
  </si>
  <si>
    <t>https://www.cian.ru/sale/flat/330507907</t>
  </si>
  <si>
    <t>Москва, Ермолаевский переулок, 13С4</t>
  </si>
  <si>
    <t>Продается уникальная двухуровневая квартира на Патриках. Вид на пруд и противоположную сторону. 2 входа в квартиру. Перекрытия железобетонные. 
1 собственник 
Без обременений 
Полная стоимость в договоре 
Перепланировка узаконена
Свободная продажа! Успейте купить!, 31 фото</t>
  </si>
  <si>
    <t>https://www.cian.ru/sale/flat/329090134</t>
  </si>
  <si>
    <t>Квартира с дизайнерским ремонтом на Патриарших прудах! 
Высота потолков 3.3
Эркер, панорамные окна
Премиальные материалы и бытовая техника
Продуманная планировка 
Фасадный дом 1913 года с Ж/Б перекрытиями. В 1988 году была полная реконструкция по спецпроекту с полной заменой перекрытий и коммуникаций, а также установкой лифта. Были сохранены лишь лестничные пролеты с уникальной авторской мозаикой. Земельный участок под зданием, двор и автопарковка - в собственности. Парковка во дворе., 17 фото</t>
  </si>
  <si>
    <t>https://www.cian.ru/sale/flat/330917320</t>
  </si>
  <si>
    <t>Москва, Малая Бронная улица, 30/1</t>
  </si>
  <si>
    <t>Патрики. Мистика, вечный бал и квартира, которая всё это пережила.
Малая Бронная, 30/1. Дом Квартирохозяин, 1925-1927 гг., проект Олтаржевского. Когда дома строили на совесть, а не под сдачу.
В прошлом веке в этой кв. жил Смирнов-Сокольский. В этом снимали Беспринципных. Случайных адресов на Патриках не бывает.
Последний, третий этаж особняка. Балкон с видом на пруд. Тот самый, который знают даже те, кто на Патриках не бывает, но осуждает.
Три эркера. Двойные стеклопакеты в дубовых рамах.  Света столько, что шторы покупают скорее для приличия.
Планировка для людей:
• студия с кухней — 60 м (танцы, званые ужины и просто жизнь)
• спальня — 20 м (чтобы высыпаться, даже если Патрики не спят)
• кабинет — 12 м (для работы или имитации занятости)
• ванная с окном (роскошь, которую начинаешь ценить слишком быстро)
Всего 108 метров чистого блаженства. Интерьер в стиле лофт. Спокойно, стильно и без попыток удивить бетонным потолком.
Перекрытия заменены, крыша новая. Все работы под надзором Охран ..., 15 фото</t>
  </si>
  <si>
    <t>https://www.cian.ru/sale/flat/326888196</t>
  </si>
  <si>
    <t>Москва, Малый Козихинский переулок, 10С1</t>
  </si>
  <si>
    <t>Продается стильная двухуровневая квартира в историческом центре Москвы у Патриарших прудов на Пресне. В квартире выполнен капитальный ремонт с заменой всех коммуникаций с применением натуральных, высококачественных материалов и технологий. Есть проектная документация, фото/видео фиксация антологии ремонта.
 Планировка на 2-х этажах свободная и легко трансформируется:
         1 этаж -- просторная кухня-гостиная, санузел, кладовая, гардероб;
         2 этаж -- мастер-спальня, гардеробная, ванная комната, постирочная.
    О доме: в 2005 году проведена реконструкция с сохранением исторического фасада, надстройкой четвертого этажа и мансарды. Архитектурное решение проекта — русский классицизм. В состав камерного дома входят 13 квартир, имеет 2 входные группы.
     В подъездах выполнен ремонт в современном стиле, керамогранитные полы, кованые перила, витражные окна, презентабельная входная дверь. На закрытой придомовой территории оборудован наземный паркинг.
      Один собственник. Звоните, ..., 24 фото</t>
  </si>
  <si>
    <t>https://www.cian.ru/sale/flat/331162541</t>
  </si>
  <si>
    <t>Продается уютная трехкомнатная квартира в самом сердце Москвы. Квартира расположена на 2 этаже 4-этажного кирпичного дома, построенного в 1906 году по проекту архитектора П.В. Харко для купца В.Н. Субботина. Считается, что именно в этом доме Михаил Булгаков поселил свою Аннушку. Отличительной чертой этого здания является его уютный двор-колодец. Высота потолков — 3,3 метра,  окна выходят как на тихий двор, так и на оживлённую улицу, что позволяет выбирать между тишиной и видом на город.. До метро "Пушкинская" всего 7 минут пешком, что делает это место особенно удобным для проживания в центре города.
Квартира предлагается  под чистовую отделку, что дает вам возможность воплотить все ваши дизайнерские идеи и создать пространство вашей мечты. Планировка позволяет грамотно распределить зоны для отдыха и работы. Высокие потолки добавляют ощущения простора и света.
Дом находится в хорошем состоянии, с наземной парковкой, что особенно актуально для центра Москвы. Кирпичная постройка обеспеч ..., 12 фото</t>
  </si>
  <si>
    <t>https://www.cian.ru/sale/flat/331515377</t>
  </si>
  <si>
    <t>Предлагается к продаже абсолютно новая квартира, со свежей дизайнерской отделкой, в самом сердце района Патриаршие Пруды.
После ремонта никто не жил. 
Квартира угловая, очень светлая, с большим количеством окон (три в спальне и четыре - в гостиной). Высокие потолки: 3.3 м.
Планировка: объединенная гостиная-кухня, спальня с просторной гардеробной, ванная комната с душем и стиральной машиной, санузел.
Расположение мокрых зон позволяет организовать 2 полноценных санузла, что является огромной редкостью для квартир в исторических домах на Патриарших.
Квартира полностью укомплектована всей бытовой техникой от стиральной машины до микроволновой печи. Кондиционирование в каждой комнате. 
Парковка: два машиноместа во дворе. Шлагбаум.
Респектабельное соседство, малоквартирный дом с красивым фасадом (год постройки 1913), ухоженный подъезд. Железобетонные перекрытия. 
Квартира полностью готова к быстрой сделке. Один взрослый собственник.
Звоните прямо сейчас, показы оперативно., 11 фото</t>
  </si>
  <si>
    <t>https://www.cian.ru/sale/flat/331135918</t>
  </si>
  <si>
    <t>Арт. 136040786 Уникальная квартира на Патриарших прудах в легендарном доходном доме архитектора Вульфсона - объекте с историей, характером и атмосферой старой Москвы.
Дом 1913 года постройки входит в реестр объектов культурного наследия и расположен в одной из самых престижных и эстетичных локаций столицы. Здесь чувствуется та самая Москва: тихие переулки, архитектура с историей, прогулки вокруг Патриарших и особая энергетика центра города.
В 1988 году дом прошёл полную реконструкцию по специальному проекту:
• были установлены железобетонные перекрытия  
• полностью заменены все коммуникации  
• внутри здания появился несущий железобетонный каркас  
• установлен лифт и мусоропровод
При этом сохранены исторические элементы дома, включая уникальные лестничные пролёты с авторской мозаикой.
Квартира общей площадью 55,6 м² расположена на комфортном шестом этаже. Пространство включает:
- светлую гостиную  
- отдельную спальню  
- кухню  
- просторный холл  
- ванную комнату с окном
Все  ..., 14 фото</t>
  </si>
  <si>
    <t>https://www.cian.ru/sale/flat/330122629</t>
  </si>
  <si>
    <t>Дизайнерская студия на Патриарших прудах в историческом здании. Презентабельный фасад, вестибюль здания отделан натуральным камнем. 
В советское время в здании была проведена полная реконструкция с заменой перекрытий и инженерии.
В студии высокие потолки до 3,8 м, большие окна с панорамными виды на историческую часть города.
Студия реализуется без отделки. По желанию владельцев возможно выполнение дизайнерской отделки и меблировки в сопровождении ведущей архитектурной студии.
В непосредственной близости -  самые модные и излюбленные места отдыха  и прогулок москвичей  и гостей столицы - Патриаршие пруды, Тверская улица, Тверской бульвар, Концертный зал им. Чайковского, Булгаковский дом и другие достопримечательности Москвы, а расстояние до Кремля всего 2 км., 10 фото</t>
  </si>
  <si>
    <t>https://www.cian.ru/sale/flat/324689494</t>
  </si>
  <si>
    <t>https://www.cian.ru/sale/flat/302141177</t>
  </si>
  <si>
    <t>Код объекта: 2148723.
Ищете себе квартиру для жизни ?
Предлагается прекраная квартира ,в ЦАО, в Пресненском районе, на ул.Большая Бронная - элитная историческая улица, с престижной архитектурой, близость к Патриаршим прудам, Тверскому бульвару, театрам ( в т.ч. театр на Малой Бронной), ресторанам, кафе, бутикам.
Считается одним из самых дорогих и престижных мест для жизни.
Большая Бронная - это сочетание исторического наследия, высокого ритма центра Москвы и камерности жилого района, примыкающего к главной пешеходной и парковой зоне города ( Патриаршие пруды ).
О Доме; это 9-ти этажный кирпичный дом, 1965 года постройки, очень теплый, с хорошей шумо и звукоизоляцией.
В квартире сделан хороший ремонт, мебель, есть все необходимое для проживания.
Хорошее место для жизни, а так же для инвестиций. 
В квартире никто не прописан, документы в порядке, быстрый выход а сделку. Цена по курсу $ (1млн)
Организуем быстрый показ, полное юр.сопровождение., 13 фото</t>
  </si>
  <si>
    <t>https://www.cian.ru/sale/flat/329374356</t>
  </si>
  <si>
    <t>Москва, Большой Палашевский переулок, 11С1</t>
  </si>
  <si>
    <t>Просторная двухэтажная квартира. Площадь по полу 62,6 кв. м. Потолки высотой 7,39 метра позволяют создать самые смелые сценарии жизни и придают квартире уникальный стиль и характер. Панорамные окна на каждом этаже позволяют наслаждаться видами и естественным светом. Спальни с отдельными гардеробными и санузлами подарят комфорт и удобство для каждого члена семьи. 
"Палашёвский 11" - завораживающе красивый и самый насыщенный дом в приватной части культового района Патриарших прудов. Расположен в центре событий и при этом в тишине, вдали от шумных улиц, в дорогой и престижной локации.
Каждая деталь "Палашёвского 11" отражает взыскательную роскошь. Эффектная архитектура сформирована тремя фасадами с разными характерами. Первый - с парящими террасами, выступающими до 4 м, второй - волнообразный, третий - полностью стеклянный.
Для жителей создан изящный зелёный двор-сад со своей оранжереей, пространствами для спокойного и активного отдыха, включая детскую площадку по стандарту Kids Lab. Ак ..., 42 фото</t>
  </si>
  <si>
    <t>https://www.cian.ru/sale/flat/331911587</t>
  </si>
  <si>
    <t>Просторная двухэтажная квартира. Площадь по полу 72,6 кв. м. Потолки высотой 7,39 метра позволяют создать самые смелые сценарии жизни и придают квартире уникальный стиль и характер. Панорамные окна на каждом этаже позволяют наслаждаться видами и естественным светом, открывая перспективу на тихий и атмосферный Большой Палашёвский переулок. Спальни с отдельными гардеробными и санузлами подарят комфорт и удобство для каждого члена семьи.
"Палашёвский 11" - завораживающе красивый и самый насыщенный дом в приватной части культового района Патриарших прудов. Расположен в центре событий и при этом в тишине, вдали от шумных улиц, в дорогой и престижной локации.
Каждая деталь "Палашёвского 11" отражает взыскательную роскошь. Эффектная архитектура сформирована тремя фасадами с разными характерами. Первый - с парящими террасами, выступающими до 4 м, второй - волнообразный, третий - полностью стеклянный.
Для жителей создан изящный зелёный двор-сад со своей оранжереей, пространствами для спокойно ..., 42 фото</t>
  </si>
  <si>
    <t>https://www.cian.ru/sale/flat/331911586</t>
  </si>
  <si>
    <t>Просторная двухэтажная квартира. Площадь по полу 107,1 кв. м. Потолки высотой 7,39 метра позволяют создать самые смелые сценарии жизни и придать помещению неповторимый стиль и характер. Панорамные окна на каждом этаже наполняют квартиру светом. Спальни с гардеробными и санузлами дарят комфорт и пользу каждому члену семьи. Окна квартиры обращены на Большой Палашёвский переулок. 
"Палашёвский 11" - завораживающе красивый и самый насыщенный дом в приватной части культового района Патриарших прудов. Расположен в центре событий и при этом в тишине, вдали от шумных улиц, в дорогой и престижной локации.
Каждая деталь "Палашёвского 11" отражает взыскательную роскошь. Эффектная архитектура сформирована тремя фасадами с разными характерами. Первый - с парящими террасами, выступающими до 4 м, второй - волнообразный, третий - полностью стеклянный.
Для жителей создан изящный зелёный двор-сад со своей оранжереей, пространствами для спокойного и активного отдыха, включая детскую площадку по стандар ..., 42 фото</t>
  </si>
  <si>
    <t>https://www.cian.ru/sale/flat/331911585</t>
  </si>
  <si>
    <t>Просторная двухэтажная квартира. Площадь по полу 105,3 кв. м. Потолки высотой 7,39 метра позволяют создать самые смелые сценарии жизни и придают квартире уникальный стиль и характер. Панорамные окна на каждом этаже позволяют наслаждаться видами и естественным светом, открывая перспективу на тихий и атмосферный Большой Палашёвский переулок. Спальни с отдельными гардеробными и санузлами подарят комфорт и удобство для каждого члена семьи.
"Палашёвский 11" - завораживающе красивый и самый насыщенный дом в приватной части культового района Патриарших прудов. Расположен в центре событий и при этом в тишине, вдали от шумных улиц, в дорогой и престижной локации.
Каждая деталь "Палашёвского 11" отражает взыскательную роскошь. Эффектная архитектура сформирована тремя фасадами с разными характерами. Первый - с парящими террасами, выступающими до 4 м, второй - волнообразный, третий - полностью стеклянный.
Для жителей создан изящный зелёный двор-сад со своей оранжереей, пространствами для спокойн ..., 42 фото</t>
  </si>
  <si>
    <t>https://www.cian.ru/sale/flat/331911584</t>
  </si>
  <si>
    <t>Просторная двухэтажная квартира. Площадь по полу 107,4 кв. м. Потолки высотой 7,39 метра позволяют создать самые смелые сценарии жизни и придать помещению неповторимый стиль и характер. Панорамные окна на каждом этаже наполняют квартиру светом. Спальни с гардеробными и санузлами дарят комфорт и пользу каждому члену семьи. Окна квартиры обращены на Большой Палашёвский переулок. 
"Палашёвский 11" - завораживающе красивый и самый насыщенный дом в приватной части культового района Патриарших прудов. Расположен в центре событий и при этом в тишине, вдали от шумных улиц, в дорогой и престижной локации.
Каждая деталь "Палашёвского 11" отражает взыскательную роскошь. Эффектная архитектура сформирована тремя фасадами с разными характерами. Первый - с парящими террасами, выступающими до 4 м, второй - волнообразный, третий - полностью стеклянный.
Для жителей создан изящный зелёный двор-сад со своей оранжереей, пространствами для спокойного и активного отдыха, включая детскую площадку по стандар ..., 42 фото</t>
  </si>
  <si>
    <t>https://www.cian.ru/sale/flat/331911583</t>
  </si>
  <si>
    <t>Просторная двухэтажная квартира. Площадь по полу 119,8 кв. м. Потолки высотой 7,39 метра позволяют создать самые смелые сценарии жизни и придают квартире уникальный стиль и характер. Панорамные окна на каждом этаже позволяют наслаждаться видами и естественным светом. Спальни с отдельными гардеробными и санузлами подарят комфорт и удобство для каждого члена семьи.
"Палашёвский 11" - завораживающе красивый и самый насыщенный дом в приватной части культового района Патриарших прудов. Расположен в центре событий и при этом в тишине, вдали от шумных улиц, в дорогой и престижной локации.
Каждая деталь "Палашёвского 11" отражает взыскательную роскошь. Эффектная архитектура сформирована тремя фасадами с разными характерами. Первый - с парящими террасами, выступающими до 4 м, второй - волнообразный, третий - полностью стеклянный.
Для жителей создан изящный зелёный двор-сад со своей оранжереей, пространствами для спокойного и активного отдыха, включая детскую площадку по стандарту Kids Lab. Ак ..., 42 фото</t>
  </si>
  <si>
    <t>https://www.cian.ru/sale/flat/331911582</t>
  </si>
  <si>
    <t>Китай-город</t>
  </si>
  <si>
    <t>Москва, Покровский бульвар, 4/17С10</t>
  </si>
  <si>
    <t>К покупке предлагается трехкомнатная квартира в уютном, клубном доме!   
Общей площадью 129 кв.м  
Ремонт по дизайн-проекту на  финальной стадии.   
Функциональной планировкой предусмотрено:   
- Кухня-гостиная;   
- Мастер-спальня  с собственной гардеробной , с/у и лоджией;  
- Комната под кабинет или спальню, со своими с/у;  
- Гостевой с/у.  
Квартира полностью меблирована и укомплектована всей необходимой техникой от мировых производителей BOSH, Asko.  
На полу инженерная доска, уложенная французской ёлкой, дорогая фурнитура, подоконники из керамогранита.  
В подземном паркинге есть м/м, обсуждается отдельно.  
В пешей доступности м. Чистые пруды.  
Великолепное расположение. Все рядом , в пешей доступности:  музеи, магазины, рестораны, прогулочные зоны.   
1 собственник. Без обременений.   
Приглашаем на просмотр, организуем быстро и в удобное время., 18 фото</t>
  </si>
  <si>
    <t>https://www.cian.ru/sale/flat/329108976</t>
  </si>
  <si>
    <t>К покупке предлагается трехкомнатная квартира в уютном, клубном доме!   
Общей площадью 110 кв.м.  
Ремонт по дизайн-проекту на  финальной стадии.  
Функциональной планировкой предусмотрено:   
- Кухня-гостиная;   
- Большая мастер-спальня  с собственной гардеробной и с/у;  
- Мастер-спальня с гардеробной и с/у, может быть кабинетом.  
- Гардеробная.  
Квартира полностью меблирована и укомплектована всей необходимой техникой от мировых производителей BOSH, Asko.  
На полу инженерная доска, уложенная французской ёлкой, дорогая фурнитура, подоконники из керамогранита.  
В подземном паркинге есть м/м - обсуждается отдельно.  
В пешей доступности м. Чистые пруды.  
Великолепное расположение. Все рядом , в пешей доступности:  музеи, магазины, рестораны, прогулочные зоны.   
1 собственник. Без обременений.   
Приглашаем на просмотр, организуем быстро и в удобное время., 19 фото</t>
  </si>
  <si>
    <t>https://www.cian.ru/sale/flat/329108977</t>
  </si>
  <si>
    <t>Москва, Большой Трехсвятительский переулок, 1</t>
  </si>
  <si>
    <t>К продаже предлагается 3-х комнатная квартира в кирпичном доме в историческом центре Москвы. Дом расположен в тихом переулке.   
Высокий потолок 3,2   
Квартира полностью оснащена всей необходимой мебелью и техникой.   
Функциональная планировка включает в себя:  
- Просторная светлая гостиная;  
- Спальня;  
- Детская ;  
- Гардеробная ;  
- Кухня.  
Развитая инфраструктура и транспортная доступность. В пешей доступности множество известных школ и учебных заведений.   
1 взрослый собственник. Без обременений. Оперативный показ., 21 фото</t>
  </si>
  <si>
    <t>https://www.cian.ru/sale/flat/331067179</t>
  </si>
  <si>
    <t>Москва, улица Солянка, 7</t>
  </si>
  <si>
    <t>198854 ЖК Дом с Атлантами
Лучшая квартира в доме. Самые высокие потолки. Оперативный показ!!!
Дом с Атлантами - дом 1882 года с богатой историей, которая продолжается.
Встреча титанов. Белоснежный фасад фокусирует внимание на богатстве деталей барельефа, замысловатой игре света и тени, оживляющей взоры могучих атлантов. Ключи от дубовой двери этого легендарного дома всегда принадлежали сильнейшим.
Знаковое окружение белого города. Дом расположен в исторической местности белый город с ее извилистыми улочками и множеством старинных храмов. Карта окрестностей усыпана достойными внимания точками, среди которых парк "Зарядье", Кремль, Большой и Малый театры, ГУМ, ЦУМ, Гранд Кофемания и многое другое.
Квартира с не законченным, дизайнерскими ремонтом. Все отделочные материалы а так же кухня и техника закуплены.
Ждем Вас на показе.
Участник ассоциации AREA, 14 фото</t>
  </si>
  <si>
    <t>https://www.cian.ru/sale/flat/325733243</t>
  </si>
  <si>
    <t>Москва, Хохловский переулок, 3С1</t>
  </si>
  <si>
    <t>1170008  Предлагается в долгосрочную аренду светлая шестикомнатная квартира площадью 140 кв.м в историческом дореволюционном особняке в Хохловском переулке. Высокие потолки 3,4 метра и толстые кирпичные стены обеспечивают превосходную шумоизоляцию, позволяя каждому члену семьи наслаждаться приватным пространством и тишиной прямо в центре столицы.
Квартира готова к комфортному проживанию. Функциональная планировка включает просторную гостиную, отдельную столовую, оборудованную кухню, четыре изолированные спальни, одну из которых можно переформатировать в гардеробную с окном и два санузла. Выполнен качественный ремонт, квартира предлагается без мебели, снабжена премиальной бытовой техникой, включая системы кондиционирования. Окна выходят на две стороны во двор, с одной стороны открывается классический московский вид на старинную церковь и зеленый двор.
Дом отличается чистым, ухоженным подъездом и располагает закрытой территорией. Важное преимущество для данной локации - наличие машином ..., 29 фото</t>
  </si>
  <si>
    <t>https://www.cian.ru/sale/flat/329347036</t>
  </si>
  <si>
    <t>Москва, Лубянский проезд, 17</t>
  </si>
  <si>
    <t>Предлагается просторная 4-х комнатная квартира в шаговой доступности от Кремля.  
Легендарный "Дом Лётчиков".  
"Сталинский" фасадный дом с толстыми стенами и высокими потолками 3,2.   
Квартира очень тёплая и светлая.  
Панорамные окна.  
Завораживающие виды на Ильинский сквер и тихий московский двор.   
Огороженная территория двора.  
Респектабельные соседи.   
Планировка:   
- Просторный холл   
- 4 изолированных спальни  
- кухня - столовая  
- балкон с видом во двор  
- большой с/у   
Отсутствие несущих стен внутри квартиры позволяют выполнить планировку под свои задачи.   
Вся инфраструктура центра Москвы в шаговой доступности.   
Свободная продажа.  
Обременений нет., 38 фото</t>
  </si>
  <si>
    <t>https://www.cian.ru/sale/flat/331202250</t>
  </si>
  <si>
    <t>Москва, улица Солянка, 1/2С2</t>
  </si>
  <si>
    <t>В квартире идет ремонт! 
Просторная квартира с двумя мастер спальнями и просторной кухней-гостиной с шикарным дизайнерским ремонтом! В доме был капремонт, перекрытия ЖБ, лифт есть!
Квартира общей площадью 109 м2 с функциональной планировкой: 
В квартире большая кухня-гостиная 40 м2 с дорогой кухней из шпона и эмали, сделанной под заказ именно для этой квартиры. Кухня полностью укомплектована техникой Bosch. 
Каждая спальная комната оснащена гардеробной или шкафом, а также у каждой комнаты есть свой санузел. Есть отдельная прачечная.
На входе располагается встроенный шкаф.
В ремонте использованы дорогие материалы, подобранные дизайнером, именно для этой квартиры. Современное световое решение, шумоизоляция, современные коммуникации, натуральные материалы. Двери высотой 2,3м из шпона, потолки 3,5м. На полу инженерная доска, уложенная французской ёлкой, дорогая фурнитура, подоконники из керамогранита.
Квартира расположена в историческом доме, построенном в 1914 году по индивидуальном ..., 10 фото</t>
  </si>
  <si>
    <t>https://www.cian.ru/sale/flat/330765401</t>
  </si>
  <si>
    <t>Москва, улица Маросейка, 13С3</t>
  </si>
  <si>
    <t>Арт. 131923888 Хотите квартиру в центре? А какую ? Хотите потолки 3 метра? И чтобы много окон! И лифт обязательно! А еще не хочу, чтоб квартир много было! Вот у нас в доме всего 19 квартир. И лифт есть! Вся инфраструктура на 10 баллов! До метро 500 метро. Действительно интересная планировка, на просмотре оцените! Да, конечно- кирпичный! Два санузла, что встречается нечасто. Распланируете по своему!!! И кстати, у нас красивый индекс 101000)))) обо всем договоримся, безусловно!, 24 фото</t>
  </si>
  <si>
    <t>https://www.cian.ru/sale/flat/327199251</t>
  </si>
  <si>
    <t>Тургеневская</t>
  </si>
  <si>
    <t>Москва, улица Маросейка, 10/1С3</t>
  </si>
  <si>
    <t>Номер в базе: 12746514.
 Продаётся 3-комнатная квартира площадью 68,8 м² по адресу: Москва, ул. Маросейка, 10/1с3.
Формат объекта: квартира состоит из долей трех собственников, оформлены 2 выписки ЕГРН. 
Параметры квартиры:
• общая площадь — 68,8 м²
• жилая площадь — 50,5 м²
• комнаты — 15,4 м², 19,6 м² и 15,5 м²
• 5 этаж кирпичного дома
• лифт
Исторический центр Москвы, район Китай-город. Пешая доступность до метро, Кремля, Чистых прудов и Покровки.
Что важно:
• 3 собственника, 2 ЕГРН на квартиру
• основание собственности — договор передачи (приватизация 2009 и 2025)
• полная стоимость в договоре
Такие объекты часто приобретают:
• под прописку в ЦАО
• как инвестицию
• под постоянное жилье
Маросейка - одна из старейших улиц Москвы с высокой ликвидностью недвижимости и ограниченным объёмом предложения. Центр, который всегда востребован независимо от рынка.
Звоните - подробно расскажу по документам, формату сделки и перспективам объекта.
Код пользователя: 161936, 22 фото</t>
  </si>
  <si>
    <t>https://www.cian.ru/sale/flat/331662833</t>
  </si>
  <si>
    <t>Уникальное предложение!  3-комнатная квартира в кирпичном доме, проверенном временем! Просторные комнаты, высокие потолки. Квартира полностью меблирована и оснащена всей необходимой техникой. Историческое, статусное место с шикарной инфраструктурой. Тихий камерный переулок, отличная локация. В пешей доступности от ст. метро Китай-Город и Чистые Пруды. 1 взрослый собственник, ДКП, полная стоимость в договоре, без обременений., 43 фото</t>
  </si>
  <si>
    <t>https://www.cian.ru/sale/flat/331144586</t>
  </si>
  <si>
    <t>Москва, улица Солянка, 1/2С1</t>
  </si>
  <si>
    <t>ЭКСКЛЮЗИВ В САМОМ СЕРДЦЕ МОСКВЫ. 
Дом под Ангелами на Солянке - историческая легенда в шаге от Кремля. 
Самое выгодное предложение в ЦАО. 
Всего 703 000 рублей за кв.м.- это уникальная цена для локации в центре Москвы. 
Почему Вам следует более пристально приглядеться к этой квартире?
-Исторический дом 1914 года (архитектор В.В. Шервуд) после полной реконструкции: новые железобетонные перекрытия, все коммуникации заменены. Сохранён дух старой Москвы, но с современным комфортом.
-3-комнатная квартира 120,9 кв.м. на 2-м этаже,  с потолками 4 метра. 
-Продуманная и функциональная планировка (что очень важно: узаконенная перепланировка):кухня-гостиная с полностью встроенной бытовой техникой, две изолированные спальни (одна — мастер-спальня, есть рабочий кабинет, гостевой санузел). 
- Всё в идеальном состоянии: заезжай и живи. Можно сдавать в аренду, есть арендаторы, готовы остаться. 
-Расположение, которому нет равных: 
ЦАО, ул. Солянка, д.1/2 стр.1: до станции метро Китай-город 3 минуты  ..., 7 фото</t>
  </si>
  <si>
    <t>https://www.cian.ru/sale/flat/330840306</t>
  </si>
  <si>
    <t>Москва, Хитровский переулок, 3/1С1</t>
  </si>
  <si>
    <t>Продаётся атмосферная двухкомнатная квартира в самом центре столицы на исторически знаменитой "Хитровке" в тёплом кирпичном доме 1870 года постройки. Удачное расположение в тихом дворике. Потолки 3.60, комнаты раздельные, совмещенный санузел, просторный холл-гостиная. Есть своя кладовая в подвале дома. Огороженная территория, въезд через шлагбаум. Один взрослый собственник, полная стоимость в договоре., 29 фото</t>
  </si>
  <si>
    <t>https://www.cian.ru/sale/flat/331735411</t>
  </si>
  <si>
    <t>Номер лота: вт-0431370.
ВЫГОДНОЕ ПРЕДЛОЖЕНИЕ! Продается замечательная трехкомнатная квартира в историческом центре Москвы! Высокий потолок 4м. До метро 3 мин., до парка Зарядье- 7 мин. и Красной площади -15 мин. пешком. Отличное состояние. Дом является достопримечательностью Китай - города. Две изолированные спальни, гостиная совмещенная с кухней, большой совмещенный санузел. Благодаря функциональной планировке в квартире чередуются просторные открытые пространства и уютные комнаты. Кухня полностью оборудована всей необходимой техникой. Комфорту и спокойствию жильцов дома способствует закрытая охраняемая территория, охрана, круглосуточное видеонаблюдение. Для жильцов дома во внутреннем дворе есть наземный паркинг. 
Документы: в собственности более 10 лет, один взрослый собственник. Свободная продажа. Праздничный торг!
 Содействие в получении специальных условий и преференций по ипотеке., 11 фото</t>
  </si>
  <si>
    <t>https://www.cian.ru/sale/flat/329434028</t>
  </si>
  <si>
    <t>Москва, улица Маросейка, 6-8С1</t>
  </si>
  <si>
    <t>.
• Предлагается 1-комнатная квартира, жемчужина на рынке недвижимости в Басманном районе Москвы (ЦАО)! В 2-х минутах пешком от метро Китай-город! Пространство продаваемого объекта дарит прекрасную возможность собственнику вдохнуть в эти метры новую жизнь, воплотить свои мечты, реализовав самые смелые дизайнерские проекты!
• Квартира расположена на 2-ом этаже в кирпичном доме, признанном Объектом культурного наследия регионального значения Доходный дом с лавками, начало XIXв.  начало ХХв. (в основе главный дом и флигели городских усадьб В.П.Измайлова, Я.А.Голицына, А.В.Репина, 1770-1790гг.).
• Свободная продажа, 1 взрослый собственник, наследство (более 5 лет в собственности, покажем полную стоимость в договоре), квартира юридически и физически свободная. Без долгов и обременений. Подходит под ипотеку!
• Общая площадь 34,1м², жилая: 23,9м², кухня 4,5 м² (окно кухни выходит в остеклённый холл на три квартиры, который закрывается на электронный ключ), раздельный санузел. Высота потоло ..., 24 фото</t>
  </si>
  <si>
    <t>https://www.cian.ru/sale/flat/330600209</t>
  </si>
  <si>
    <t>Москва, Покровский бульвар, 4/17С6</t>
  </si>
  <si>
    <t>Арт. 106273630 
Вашему вниманию предлагается прекрасная квартира в историческом центре Москвы, расположенная по адресу Покровский б-р., 4/17с6.
Въезд во двор осуществляется через шлагбаум, нет проблем с парковочными местами, плюс одно закреплено за квартирой.  Окна в зеленый закрытый палисадник, не проходной двор. Квартира со свежим дизайнерским ремонтом, продуманной планировкой, полностью готова к проживанию.
Квартира площадью 58,6 кв.м. (евротрешка), кухня-гостиная 19 кв.м. и две отдельные спальни 14 и 9 кв.м., есть гардеробная. Вся мебель в квартире сделана на заказ , из натурального дерева. На полу керамогранит и паркетная доска, итальянская сантехника.
Под домом не проходит ни одной ветки метро! 
На выбор три метро в 10 минутах ходьбы: Китай-город, Тургеневская, Курская. Расположение в историческом районе обеспечивает легкий доступ к основным достопримечательностям, ресторанам, магазинам и развлекательным заведениям. Эта квартира - идеальное место для тех, кто ценит комфорт и с ..., 24 фото</t>
  </si>
  <si>
    <t>https://www.cian.ru/sale/flat/296197973</t>
  </si>
  <si>
    <t>Москва, улица Маросейка, 13С2</t>
  </si>
  <si>
    <t>Вашему вниманию предлагается уютная пятикомнатная квартира в историческом центре Москвы. В 5-ти минутах пешком от метро Китай-город. Малоквартирный дом, расположенный в глубине квартала, действительно "тихий центр". Закрытый двор с парковкой для жильцов и со своим сквером. Презентабельный подъезд. Всего по две квартиры на этаже. Высокий второй этаж, практически третий.
           Капремонт дома был в 2023 году. Архитектор - знаменитый Нирнзее.
   В квартире сделан качественный евроремонт по принципу "Для себя". Особое внимание при ремонте было уделено качеству комплектующих, надежности и беспроблемности дальнейшей эксплуатации инженерного оборудования квартиры, водоснабжения и электропроводки. Стены и полы возведены заново.  Окна на разные стороны. Высокие потолки дают ощущение объема и пространства.
       Три изолированные спальни и кабинет, два полноценных санузла, большая кухня-гостиная 50 кв.м., гардеробная, просторный входной холл. Легкая альтернатива. Более 10 лет в собственност ..., 24 фото</t>
  </si>
  <si>
    <t>https://www.cian.ru/sale/flat/326644664</t>
  </si>
  <si>
    <t>Москва, Малый Спасоглинищевский переулок, 1/6</t>
  </si>
  <si>
    <t>Просторная, светлая, уютная квартира в историческом центре Москвы. Продается с мебелью. В данный момент сдается в аренду. Более 5 лет в собственности, один взрослый собственник, никаких залогов нет. Оперативный показ., 17 фото</t>
  </si>
  <si>
    <t>https://www.cian.ru/sale/flat/331287478</t>
  </si>
  <si>
    <t>Дом-легенда на Маросейке. 4 комнаты. 5 минут до Кремля. Окна на бульвар.
Квартира в Доме летчиков (1937 г., арх. А.И. Ефимов). Не просто жилье — место силы советской элиты. Абсолютная тишина кабинета и шум Большого театра в пешей доступности.
Это здание помнит шаги маршала Егорова и графа Игнатьева. В этих стенах жили герои, чьи имена вписаны в историю страны. Здесь особая энергия — сдержанная мощь сталинского ампира и спокойствие закрытого фасадного двора.
Пространство для новой истории:
Квартира свободна от внутреннего несущего каркаса. Это дает вам редкую для исторического центра роскошь — запроектировать жизнь с нуля. Хотите кухню-гостиную на 40 метров с панорамой бульвара? Анфиладу гостевых залов? Личный кабинет с библиотекой? Всё возможно — стены держит только периметр.
Холл 18 м² — парадная зона, где вас встречает тишина.
4 изолированные комнаты — спальни, кабинеты, будуары — решать вам.
Кухня 11,7 м² — ждёт объединения в эффектное арт-пространство со столовой зоной.
3 ок ..., 42 фото</t>
  </si>
  <si>
    <t>https://www.cian.ru/sale/flat/330389120</t>
  </si>
  <si>
    <t>Код объекта: 2187442.
Продается квартира в кирпичном доме, в престижном районе Китай-город, в самом центре исторической Москвы. Дом немного удален от большого транспортного и пешеходного потока, окна выходят на тихую улицу. Закрытая тихая дворовая территория. Квартира под ремонт, это удобно, вы можете сделать ремонт о котором мечтали. Высота потолка 3,2 метра. Локация наполнена различной инфраструктурой, рядом учебные заведения, очень много кафе, ресторанов, магазинов, парк Горка с фонтанами и спортивной площадкой у дома, до метро Китай-город буквально 5 минут, множество исторических памятников. До Кремля 12 минут пешком. Один взрослых собственника, более 5 лет в собственности. Свободная продажа., 11 фото</t>
  </si>
  <si>
    <t>https://www.cian.ru/sale/flat/331332348</t>
  </si>
  <si>
    <t>Москва, улица Маросейка, 10/1С1</t>
  </si>
  <si>
    <t>Лот 58616. Шевцова Виктория.
Поздравляем! Вы долистали до вашей будущей квартиры. Дальше можно не искать, здесь уже есть всё, что нужно.
Представьте: вы просыпаетесь в спальне, где солнечные лучи мягко пробиваются сквозь окна, выходящие во двор. Здесь царят тишина и спокойствие, не свойственные для центра. Классический тихий московский дворик.
В вашей квартире две спальни, одна из которых — мастер-спальня с собственным санузлом. Это ваше личное пространство, где можно расслабиться и восстановить силы. Вторая спальня идеально подходит для детей или может быть преобразована в кабинет для работы из дома.
Кухня-гостиная — это сердце вашего нового дома. Просторное помещение, где вы сможете готовить любимые блюда и проводить время с близкими. Здесь легко организовать семейные ужины или вечеринки с друзьями. Два санузла обеспечат комфорт и удобство для всей семьи.
Квартира позволит реализовать свои дизайнерские идеи и создать пространство, отражающее ваш стиль и предпочтения. Вы сможете в ..., 21 фото</t>
  </si>
  <si>
    <t>https://www.cian.ru/sale/flat/331059844</t>
  </si>
  <si>
    <t>Продаётся 2-х комнатная квартира 69.4м на 5 этаже 6 этажного кирпичного доходного дома Московского купеческого общества. Исторический центр Москвы. Три минуты пешком от станции метро Китай-город. Закрытая тихая территория, въезд через шлагбаум. Железобетонные перекрытия, был произведён капитальный ремонт дома с заменой перекрытий, новый лифт. Закрытый холл на две квартиры 16м. Две изолированные комнаты 20.2-16.4м, кухня 11м. прихожая - коридор 17м. Качественный Евроремонт, кондиционер, охранная сигнализация. В собственности более 5-ти лет, полная стоимость в ДКП. Альтернатива., 25 фото</t>
  </si>
  <si>
    <t>https://www.cian.ru/sale/flat/331361611</t>
  </si>
  <si>
    <t>Код объекта: 2133848.
Предлагаем вашему вниманию уникальную четырёхкомнатную квартиру площадью 120 кв. м на улице Маросейка, 10/1с1 в Москве. Это идеальное предложение для тех, кто ищет просторное и удобное жильё в одном из самых престижных районов города.
Квартира расположена на 5 этаже пятиэтажного кирпичного дома 1930 года постройки. Высокие потолки (3,3 м) Изолированные комнаты (11,3 + 23,5 + 11,7 + 12,5 кв. м) обеспечивают комфорт и приватность для всех членов семьи. Большая кухня-гостиная (33,7 кв. м) станет местом для семейных ужинов и дружеских встреч.
Расположение квартиры — одно из её главных преимуществ. Близость к центру города и развитая инфраструктура делают это предложение особенно привлекательным. В пешей доступности от дома находятся магазины, школы, детские сады, аптеки и спортивные клубы. Лёгкий выезд на основные магистрали обеспечивает быстрое перемещение по городу.
Не упустите возможность стать обладателем этой прекрасной квартиры! Звоните нам прямо сейчас, чтоб ..., 33 фото</t>
  </si>
  <si>
    <t>https://www.cian.ru/sale/flat/329000800</t>
  </si>
  <si>
    <t>Лот 169862.  Эксклюзив Vesco Realty. ЖК "Дом с Атлантами" - Двухуровневая резиденция 191,8 кв.м в предчистовой отделке White Box с собственным патио в клубном доме deluxe-класса в сердце Китай-города. Уникальный формат городской резиденции, для тех кто ценит приватность и уединение. 
Особенности резиденции:
- 2 спальни со своими ванными и гардеробными с панорамными окнами и потолками 3,4 м.
- Отдельный вход со стороны внутреннего двора.
- Приватное патио 51,6 кв.м, скрытое от посторонних глаз. 
- Высокие потолки со сводами Монье в гостиной (4,4 м).
- Все окна смотрят в тихий двор.
ПЛАНИРОВКА
1 уровень: 
Прихожая с функциональной гардеробной (10,1), гостевой с/у (2).
Объединенная кухня-столовая-гостиная (64,8).
-1 уровень: 
Холл (14,5), патио (51,6). Спальня 1 (22), гардеробная (11,4), ванная комната (9).
Спальня 2 (20), гардеробная (10), ванная комната (9,3).
ОТДЕЛКА WHITE BOX:
Выполнено выравнивание стен и потолков.
Входные деревянные двери по индивидуальному проекту.  
Окна ..., 13 фото</t>
  </si>
  <si>
    <t>https://www.cian.ru/sale/flat/330018127</t>
  </si>
  <si>
    <t>Лот 169855.  Эксклюзив Vesco Realty. ЖК "Дом с Атлантами" - Новая двухуровневая резиденция 252,4 кв.м в предчистовой отделке White Box с собственным патио в клубном доме deluxe-класса в сердце Китай-города. Уникальный формат городской резиденции, для тех кто ценит приватность и уединение. 
Особенности резиденции:
- 3 спальни со своими ванными и гардеробными с панорамными окнами и потолками 3,4 м. Две из них - со своими выходами в патио.
- Отдельный вход со стороны внутреннего двора.
- Приватное патио 55,5 кв.м, скрытое от посторонних глаз. 
- Высокие потолки со сводами Монье в гостиной (4,3 м).
- Все окна смотрят в тихий двор.
ПЛАНИРОВКА
1 уровень: 
Прихожая с функциональной гардеробной (11,6), гостевой с/у (2,2).
Объединенная кухня-столовая-гостиная (58,2).
Мастер-спальня (28,1) с гардеробной (8) и ванной (7,8). 
-1 уровень: 
Гостиная (29,4), патио (55,5). Спальня 1 (32,9), гардеробная (7), ванная комната (4).
Спальня 2 (19,5), гардеробная (4), ванная комната (5). Лестничный хо ..., 20 фото</t>
  </si>
  <si>
    <t>https://www.cian.ru/sale/flat/329372885</t>
  </si>
  <si>
    <t>Москва, Старосадский переулок, 6/12С1</t>
  </si>
  <si>
    <t>Продается просторная 3-комнатная квартира в  историческом центре Москвы. 
Рядом — Китай-город, Маросейка, Покровка, Лютеранский собор, парк Зарядье и Кремль. Вся инфраструктура центра в шаговой доступности.
Квартира расположена в кирпичном доме с красивой архитектурой, характерной для исторической застройки этого района. Высокие потолки, большие окна, просторные комнаты, продуманная планировка — идеальное пространство для семьи, которая ценит комфорт, приватность и статус.
Особенности объекта:
 Три полноценные комнаты, каждая со своим характером и светом;
 В квартире сохранились подлинные встроенные ниши;
 Окна выходят во двор / на исторический переулок (панорамный вид / зелень);
 Состояние:  требующее обновления под личный вкус;
 Дом с историей, но с современными коммуникациями;
 Лифт, ухоженный подъезд;
 Напротив квартиры — дополнительный выход. Когда-то он служил отдельным ходом для прислуги — так строили дореволюционные дома.
Для чего это даёт возможности:
 иметь запасной марш ..., 15 фото</t>
  </si>
  <si>
    <t>https://www.cian.ru/sale/flat/331806106</t>
  </si>
  <si>
    <t>Москва, Хохловский переулок, 11С1</t>
  </si>
  <si>
    <t>Квартира для ценителей исторического центра Москвы.
Пешая доступность до нескольких станций метро: Китай-город, Тургеневская, и Чистые пруды.
Во дворе всегда есть свободные парковочные места. Въезд во двор под шлагбаум.
Все комнаты изолированные.
Санузел раздельный.
В подъезде есть пассажирский лифт.
Четверо собственников. Все заинтересованы и  готовы к продаже.
До сделки все зарегистрированные лица будут выписаны.
Свободная продажа. Полная стоимость в договоре., 22 фото</t>
  </si>
  <si>
    <t>https://www.cian.ru/sale/flat/325739845</t>
  </si>
  <si>
    <t>Уникальное предложение!
Наши преимущества:
- Исторический центр Москвы;
- Доходный дом Московского купеческого общества, памятник архитектуры, архитектор В.В. Шервуд;
- Видовая квартира;
Местоположение:
-  Басманный  - один из лучших районов Москвы! В Районе расположено  большое число усадеб, музеев, объектов культурного и исторического наследия. Район очень тихий и спокойный, у него есть своя особенная аура.
-  в пешей досягаемости - вся необходимая инфраструктура: рестораны, престижные ВУЗы, магазины, бутики, салоны красоты, бизнес центры; престижные школы, детские сады, медицинские учреждения; 
-  Станции метро: Китай-Город - 3 минуты ходьбы, Лубянка - 15 минут ходьбы.
- Исторические достопримечательности: Ивановская горка (с действующим женским Ивановским монастырём), Морозовский парк, Милютинский парк.
- Всего 1 км до Красной площади, Удобные выезды Набережную Москвы-реки, и Бульварное кольцо.
- 10 минут ходьбы до Парка Зарядье, Красной Площади и  Чистых прудов. 
О доме:
- Леге ..., 23 фото</t>
  </si>
  <si>
    <t>https://www.cian.ru/sale/flat/284509334</t>
  </si>
  <si>
    <t>Для  Ценителей Настоящего.
5 комнатная квартира, общей площадью 258,6 кв.м. 
4 этаж.
Перекрытия: своды Монье.
4 спальни: 20-25-25-30 м2
столовая/каминная:  70 м2
кухня: 40 м2
две совмещённые ванные комнаты
один гостевой с/у
Особенность этой квартиры - тишина. Тройные стеклопакеты. Приточно-вытяжная система Daikin. Тройная система очистки воды. 
Кухня  Clive Christian. Бытовая техника: Gaggenau, Miele.  Все рабочие поверхности на кухне - оникс.
Великолепный паркет из ценных пород дерева.
Два 2 м/м в охраняемом закрытом наземном паркинге, выход из подъезда. Консьерж. Видеонаблюдение.
Перепланировок не было. Документы прозрачны. 
Состояние квартиры, заехать и жить. 11 окон. Светлая, невероятно уютная., 27 фото</t>
  </si>
  <si>
    <t>https://www.cian.ru/sale/flat/329486699</t>
  </si>
  <si>
    <t>Площадь Революции</t>
  </si>
  <si>
    <t>Москва, улица Маросейка, 13С1</t>
  </si>
  <si>
    <t>ОТЛИЧНАЯ КВАРТИРА ПО ОТЛИЧНОЙ ЦЕНЕ!! Вашему Вниманию очень интересная  Четырехкомнатная квартира как для Инвестирования так и для проживания!! ПАРКОВОЧНОЕ МЕСТО!!
Малонаселенный Малоквартирный дом на Известной  Исторической улице Москвы.  Потолки 3 м. Огороженная территория.  До Кремля можно дойти за 7 минут. Свободная продажа, Высокие потолки, полная стоимость в договоре, охраняемый паркинг, оперативный просмотр, 37 фото</t>
  </si>
  <si>
    <t>https://www.cian.ru/sale/flat/331258225</t>
  </si>
  <si>
    <t>Продажа апартаментов в центре Москве на Маросейке 6-8 стр. 1. Всего в 3 минутах ходьбы от метро Китай-город. Входы как с улицы Маросейке, так и со двора обеспечивают удобство и приватность. Площадь 15 кв.м., на втором этаже. Просторная и функциональная планировка в формате студии. Светлый, аккуратный интерьер в сочетании с тихим двором создают уют и комфорт. Развитая инфраструктура района в шаговой доступности: кафе, магазины, сервисы и общественный транспорт — всё рядом. Идеальный вариант как для комфортной жизни, так и для инвестиций. Позвоните нам - договоримся о показе., 17 фото</t>
  </si>
  <si>
    <t>https://www.cian.ru/sale/flat/331934309</t>
  </si>
  <si>
    <t>Москва, Петроверигский переулок, 6-8-10С5</t>
  </si>
  <si>
    <t>Представляем роскошный ИНДИВИДУАЛЬНЫЙ жилой двухэтажный дом с премиум-ремонтом в самом сердце столицы с пропиской внутри Бульварного кольца
Система умного дома , вентиляция, встроенный гараж, 2 мастер-спальни
Полностью готов под заселение
Прописка в ЦАО
Своя закрытая террасная территория 100 м2
Все подробности по запросу., 32 фото</t>
  </si>
  <si>
    <t>https://www.cian.ru/sale/flat/324114459</t>
  </si>
  <si>
    <t>Москва, улица Спиридоновка, 18</t>
  </si>
  <si>
    <t>Номер объекта: 585704. Видовая квартира с исключительной отделкой по проекту английского дизайнера в малоквартирном доме на улице Спиридоновка. Квартира площадью 173,3 кв.м. на 8 этаже с панорамными видами на тихий центр. Квартира продается со всей обстановкой под ключ - включая мебель, технику, шторы на электроприводе, ковры.
Функциональное планировочное решение: просторная гостиная, кухня-столовая, мастер блок, состоящий из спальни, гардеробной и санузла, вторая спальня со своим санузлом, кабинет (можно использовать как третью спальню), гостевой санузел, постирочная.
Итальянская кухня укомплектована всей необходимой техникой Gaggenau (духовой шкаф, варочная панель, микроволновая печь, посудомоечная машина, холодильник), винный шкаф EuroCave. Пол в коридоре и на кухне с подогревом - натуральный мрамор, американский паркет - массив ореха, стены - натуральная кожа и шелк. Раковина в мастер-санузле выполнена из оникса, сантехника Villeroy &amp; Boch, Washlet. Постирочная оборудована стирал ..., 27 фото</t>
  </si>
  <si>
    <t>https://www.cian.ru/sale/flat/333437490</t>
  </si>
  <si>
    <t>https://www.cian.ru/sale/flat/334575212</t>
  </si>
  <si>
    <t>Москва, улица Спиридоновка, 16С2</t>
  </si>
  <si>
    <t>Лот: 86947. В продаже двухэтажный 8-комнатный пентхаус с террасой в историческом особняке на Спиридоновке - в одной из самых статусных и камерных локаций Патриарших прудов, где тишина переулков сочетается с насыщенной городской жизнью центра.
Планировка выстроена на двух уровнях:
1 уровень:
- кухня,
- просторная столовая,
- 3 спальни,
- 3 санузла,
- постирочная.
2 уровень:
- 2 мастер-спальни,
- каминный зал,
- кабинет.
Высота потолков - 3 м.
Интерьер выполнен в классической стилистике с использованием натуральных материалов. Пространство дополнено высокими окнами, декоративными элементами и встроенными системами хранения, которые поддерживают чистую архитектуру интерьера без визуального шума.
Окна ориентированы на несколько сторон света и раскрывают виды на тихий переулок и внутренний двор, создавая ощущение уединённости в самом центре города.
Клубный дом рассчитан всего на 6 квартир и расположен в приватном переулке рядом с Греческим посольством. Лифт поднимает владельца не тольк ..., 31 фото</t>
  </si>
  <si>
    <t>https://www.cian.ru/sale/flat/328450804</t>
  </si>
  <si>
    <t>215988
Элегантная 3-комнатная квартира на Патриаршие пруды — редкое и статусное предложение в самом сердце Москвы. 
Эта уютная квартира на 5-м этаже 9-этажного дома идеально подойдет для тех, кто ценит комфорт, приватность и атмосферу исторического центра. Квартира полностью готова к проживанию и продается абсолютно со всей мебелью и техникой, представленными на фотографиях.
Главные преимущества и локация:  Три окна выходят непосредственно на Патриаршие пруды, открывая завораживающий вид на воду и парковую зону. Одно окно выходит в тихий ухоженный двор, обеспечивая идеальную тишину. Собственный паркинг: За квартирой официально закреплено одно парковочное место в закрытом дворе дома — огромная привилегия и редкость для этого района.
Безопасность: В подъезде установлен надежный кодовый замок, доступ посторонних ограничен. Продуманная планировка 
Интерьер квартиры выполнен в благородном современном стиле, где каждый квадратный метр используется максимально эффективно: Просторная гостин ..., 19 фото</t>
  </si>
  <si>
    <t>https://www.cian.ru/sale/flat/334643146</t>
  </si>
  <si>
    <t>212611
Уютная 2-комнатная квартира 55,6 кв.м в знаменитом доходном доме архитектора Вульфсона на Патриарших прудах. Дом 1913 года постройки после полной реконструкции. 
Планировка: коридор, кухня, гостиная с камином, спальня, ванная комната с окном, с/у. 
В квартире был проведен ремонт в 2024 году, серьёзных дополнительных вложений не требует. Мебель и техника остаются по договорённости. 
Высота потолков 3,3 метра. 
Окна ориентированы на северо-запад. Из окон открываются виды во двор и на исторический Булгаковский сквер. 
Для жителей дома предусмотрена парковка за шлагбаумом. Круглосуточная охрана.
Дом 1913 года постройки с капитальными кирпичными стенами толщиной до 1 метра. В 1988 году была проведена полная реконструкция по спецпроекту с установкой внутри здания несущего железобетонного каркаса и железобетонных перекрытий, а также с установкой лифта и мусоропровода. Были сохранены только лестничные пролёты с уникальной авторской мозаикой. Крыша - плоская, целиком железобетонная ..., 15 фото</t>
  </si>
  <si>
    <t>https://www.cian.ru/sale/flat/334577905</t>
  </si>
  <si>
    <t>Москва, Большой Козихинский переулок, 15</t>
  </si>
  <si>
    <t>Резиденция в клубном доме "ДОМ БАКСТ" на Патриарших прудах. 
Эксклюзивное предложение в одном из самых приватных проектов района. Квартира свободной планировки без отделки — редкая возможность создать интерьер, полностью отражающий Ваш образ жизни. Благодаря продуманной геометрии и панорамному остеклению, пространство легко трансформируется в элегантную городскую резиденцию. 
- 3/5 этаж 
- 497 метров 
- 8 спален 
- высота потолков 3,5
О проекте:
Архитектура: Камерный дом на 18 квартир в стиле русского модерна с художественными панно по мотивам работ Льва Бакста.
Комфорт и технологии: Система "умный дом", центральное кондиционирование, приточно-вытяжная вентиляция с очисткой воздуха и фильтрация воды.
Приватность: Закрытый двор, круглосуточная охрана и видеонаблюдение.
Паркинг: Подземный паркинг (включая места для авто увеличенной длины), машиноместа доступны к покупке.
Наша компания состоит в ассоциации AREA. [Лот #25582], 10 фото</t>
  </si>
  <si>
    <t>https://www.cian.ru/sale/flat/333483562</t>
  </si>
  <si>
    <t>Продается Большой Козихинский переулок., 15, "Дом Бакст на Патриарших"
Резиденция в клубном доме "ДОМ БАКСТ" на Патриарших прудах. 
Эксклюзивное предложение в одном из самых приватных проектов района. Квартира свободной планировки без отделки — редкая возможность создать интерьер, полностью отражающий Ваш образ жизни. Благодаря продуманной геометрии и панорамному остеклению, пространство легко трансформируется в элегантную городскую резиденцию. Предусмотрена возможность объединения с соседними лотами !!!
- 3/5 этаж 
- 312 метров 
- возможное присоединени соседних квартир: 312 м² + 185 м²
- высота потолков 3,5
О проекте:
Архитектура: Камерный дом на 18 квартир в стиле русского модерна с художественными панно по мотивам работ Льва Бакста.
Комфорт и технологии: Система "умный дом", центральное кондиционирование, приточно-вытяжная вентиляция с очисткой воздуха и фильтрация воды.
Приватность: Закрытый двор, круглосуточная охрана и видеонаблюдение.
Паркинг: Подземный паркинг (включая мес ..., 10 фото</t>
  </si>
  <si>
    <t>https://www.cian.ru/sale/flat/333483543</t>
  </si>
  <si>
    <t>Лот: 78105. В продаже уникальная двухуровневая квартира с дизайнерской отделкой в клубном доме класса de luxe "Гранатный, 6" на Патриарших прудах.
Планировка:
1 уровень — просторная гостиная с обеденной зоной и камином, изолируемая кухня, винная комната, гостевой санузел, гардеробная и серверная. Мастер-блок включает спальню, ванную комнату с окном и гардеробную. Также предусмотрена вторая спальная зона со спальней, гардеробной и просторной ванной комнатой.
2 уровень — кабинет с библиотекой, системой домашнего кинотеатра с проектором и акустикой Hi-Fi, спальня, ванная комната с душем, постирочная, вместительная гардеробная и coffee point. Уровень имеет приватный выход на улицу с видеонаблюдением и контролем доступа.
Интерьер разработан при участии известных российских и итальянских архитектурных бюро. В отделке использованы натуральные материалы: оникс, мрамор, дерево, кожа ручной выделки и стекло, прошедшие проверку на экологическую безопасность. Высота потолков — 3,2 м.
Квартира п ..., 46 фото</t>
  </si>
  <si>
    <t>https://www.cian.ru/sale/flat/334003883</t>
  </si>
  <si>
    <t>Москва, улица Спиридоновка, 19</t>
  </si>
  <si>
    <t>ЭКСКЛЮЗИВ! К продаже предлагается роскошная трехкомнатная квартира  с дорогой дизайнерской отделкой от известного архитектурного бюро в самой престижной и востребованной локации Москвы на Патриарших прудах в одном из лучших домов ЦК.   
Функциональной планировкой предусмотрено:  
-большая прихожая  
-гостевой санузел  
-постирочная комната  
-просторная гостиная с большим открытым балконом  
-большая кухня  
-мастер-спальня со своим санузлом с окном и большой гардеробной с окном  
- спальнякабинет со своим санузлом.   
В отделке использованы дорогие материалы и ценные породы камня и дерева, текстиль. Бытовая техника Miele, Gaggenau. Итальянская мебель и свет от известных люксовых марок.  В квартире большое количество окон и шкафов для хранения. Высокие потолки и индивидуальная система вентиляции добавляют ощущение простора и свежести  
Красивые виды в сторону Патриарших, дома приемов МИДа, во двор. Большая закрытая территория с детской площадкой и прогулочной зоной. Много зеле ..., 24 фото</t>
  </si>
  <si>
    <t>https://www.cian.ru/sale/flat/331394711</t>
  </si>
  <si>
    <t>https://www.cian.ru/sale/flat/333337689</t>
  </si>
  <si>
    <t>Номер объекта: 023881.
ЭКСКЛЮЗИВ! Роскошная трехкомнатная квартира представительского класса с дорогой дизайнерской отделкой от известного архитектурного бюро в самой престижной и востребованной локации Москвы на Патриарших прудах в одном из лучших домов ЦК. Функциональная планировка включает в себя большую прихожую, гостевой санузел, постирочную комнату, просторную гостиную с красивой террасой, кухню, мастер-спальню со своим санузлом с окном и большой гардеробной с окном, гостевую/детскую спальню со своим санузлом. В отделке использованы дорогие материалы и ценные породы камня и дерева, текстиль. Бытовая техника Miele, Gaggenau. Итальянская мебель и свет от известных люксовых марок. Установлены кондиционеры. В квартире большое количество окон и шкафов для хранения. Высокие потолки. Красивые виды в сторону Патриарших, дома приемов МИДа, во двор. Большая закрытая территория с детской площадкой и прогулочной зоной. Много зелени, ухоженный ландшафт. Парковка на закрытой придомовой террито ..., 18 фото</t>
  </si>
  <si>
    <t>https://www.cian.ru/sale/flat/325560899</t>
  </si>
  <si>
    <t>Москва, Ермолаевский переулок, 16</t>
  </si>
  <si>
    <t>Продается: Уникальная квартира в сердце Патриарших Прудов!
Представляем стильное жилье на 1,5 уровня, где каждая деталь продумана до мелочей. Эта квартира сочетает в себе комфорт и элегантность.
• Объединенная кухня-гостиная с панорамным окном и уютным балконом — идеальное место для отдыха и встреч.
• Роскошный санузел с мрамором, ванной и просторной душевой — ваш личный спа-уголок.
• Спальная зона на втором уровне с высокими потолками (3,8 м), гардеробными и постирочной.
• Итальянская кухня Scavolini с техникой Asko и смесителями Gessi добавляют изысканности.
• Пол из натурального дуба, стильная мебель от Ditre Italia и винтажные светильники создают атмосферу уюта и стиля.
Инфраструктура района очень богатая: школа с углубленным изучением отдельных предметов с дошкольным отделением, школа им. Мигеля Эрнандеса, театры имени Пушкина, на Малой Бронной, Моссовета, Сатиры, Театр.Doc. Рядом сад Булгакова и аллея Шехтеля, все лидеры рейтингов ресторанов и баров, премиальные бутики, фитнес ..., 16 фото</t>
  </si>
  <si>
    <t>https://www.cian.ru/sale/flat/332838505</t>
  </si>
  <si>
    <t>Москва, Вспольный переулок, 10</t>
  </si>
  <si>
    <t>В продажу предлагается уютная однокомнатная квартира в районе метро Баррикадное Пресненского р-на, всего в 9 минутах пешком. Квартира расположена на 3 этаже 9-этажного кирпичного дома, построенного в 1964 году. Общая площадь составляет 31 кв. м+ балкон, из которых 20 кв. м — жилая площадь, а кухня занимает 5 кв. м. Высота потолков — 2.7 метра, что создает ощущение простора. Вся мебель и бытовая техника входит в стоимость квартиры.
В квартире сделан достойный современный Евроремонт ремонт, благодаря чему она выглядит свежо и аккуратно. Обстановка функциональная, окна выходят во двор, поэтому в квартире тихо. Есть совмещенный санузел+душевая кабина что удобно для повседневного использования. У квартиры есть один балкон, где можно обустроить зону отдыха или хранить вещи.
Дом в хорошем состоянии, оборудован пассажирским лифтом и мусоропроводом, что значительно упрощает быт. На территории дома предусмотрена наземная парковка, поэтому всегда будет место для вашего автомобиля.
Район с разв ..., 49 фото</t>
  </si>
  <si>
    <t>https://www.cian.ru/sale/flat/334971178</t>
  </si>
  <si>
    <t>Москва, Большой Палашевский переулок, 14/7С1</t>
  </si>
  <si>
    <t>Предлагаем в продажу стильную дизайнерскую просторную квартиру! 4-комнатная распашонка 85 м², Патриаршие пруды. Дом 1910 г. (последний этаж, техэтаж, 2 квартиры на этаже, машиноместо)
Локация:
Исторический центр Москвы, начало Патриарших прудов. Все достопримечательности в пешей доступности. Тишина центральных дворов.
Дом:
1910 год, кирпич. Полный капремонт. Фасады и подъезд в идеальном состоянии. Весь дом официально отключен от газа. Горячая вода центральная . 
Дом малоквартирный клубного формата. Подъезд сквозной (вход с улицы и со двора), дубовые перила, сохранена метлахская плитка. Сверху — технический этаж. Лифта нет.
Двор:
Закрытая территория, въезд под шлагбаум. Собственное машиноместо.
Ремонт:
Дизайнерский, в стиле тихой роскоши. Натуральные материалы, сдержанные тона. В ванной комнате восстановлены историческая лепнина и оригинальная вентиляционная решетка.
Планировка (84,5 м², потолки 3.30 м):
Распашонка. Окна на две стороны, много света.
4 комнаты:
— Кухня-гостиная со с ..., 47 фото</t>
  </si>
  <si>
    <t>https://www.cian.ru/sale/flat/330850234</t>
  </si>
  <si>
    <t>Особенное предложение!
Квартира с тремя спальнями общей площадью 171 м² в доме "Большой Козихинский, 12" на втором этаже. Выполнена дизайнерская отделка в светлых тонах с использованием дорогостоящих материалов. Интерьеры украшают декоративные молдинги и венчающие карнизы. Установлена индивидуальная система кондиционирования. Итальянская кухня оборудована немецкой встроенной бытовой техникой, квартира полностью меблирована.
Функциональная планировка включает гостиную, кухню, мастер-спальню со своим санузлом и гардеробной, две спальни, два санузла и прихожую с гардеробной. Дополнительно предусмотрено много мест для хранения вещей. Благодаря 13-ти окнам, которые ориентированным на три стороны света, пространство наполнено естественным светом. На этаже всего две квартиры, что обеспечивает дополнительную приватность.
Комментарий эксперта. Меня зовут Ростислав Никонов — брокер компании Whitewill. Я отвечаю за продажу этого лота. Свяжитесь со мной, чтобы получить расширенную презентацию, б ..., 11 фото</t>
  </si>
  <si>
    <t>https://www.cian.ru/sale/flat/321728661</t>
  </si>
  <si>
    <t>ID: 8807.
Великолепная, абсолютно новая 5-комнатная квартира с авторским интерьером в тихом и статусном переулке района Патриарших Прудов. В квартире никто не проживал. Пространство создано в партнерстве ведущих архитектурных бюро России и Италии. Благодаря двум уровням и двум отдельным входам квартира безупречно может совмещать функции роскошного семейного дома и представительской резиденции.
Главные особенности и инженерия:
Интеллектуальный комфорт: Вся резиденция оснащена системой Умный дом AMX Control. С ее помощью настраиваются сценарии света, электропривод штор, зональный климат-контроль и управление камином.
Премиальные материалы: Во всех спальнях уложен паркет Schotten &amp; Hansen (Германия). Все мраморные полы в квартире оборудованы подогревом.
Безупречные виды: Окна просторной гостиной ориентированы в тихий зеленый сквер. Окна спален выходят на исторический особняк боярыни Морозовой (Дом приемов МИД РФ).
Безопасность: Круглосуточная охрана, закрытая территория, индивидуальные  ..., 41 фото</t>
  </si>
  <si>
    <t>https://www.cian.ru/sale/flat/332437315</t>
  </si>
  <si>
    <t>Москва, Богословский переулок, 3</t>
  </si>
  <si>
    <t>Светлана, продажа очень красивой, светлой и просторной квартиры в историческом центре Москвы, в 15-20 мин ходьбы от Кремля. Фото и видео все покажут. Общая площадь 90,1 кв м.
     По всем вопросам, пожалуйста, звоните. 
     ЦАО - станции метро Пушкинская, Тверская, Чеховская - неспешным шагом 7-8 мин. Все прелести жизни в центре столицы - к Вашим услугам. Исторический центр - во всей красе))
      Квартира в самом сердце Москвы, кирпичный малоквартирный дом. Шикарный вид из окон - Церковь XVI века - действующий Храм святого  апостола и евангелиста Иоанна Богослова на Бронной. Окна выходят на Богословский переулок и во двор.
       Квартира жилая, с оригинальным зонированием, полностью готова к заезду для тех, кто не хочет погружаться в ремонт.
Функционально представляет из себя:
- изолированная комната (спальня) с большим санузлом, 
- изолированная комната свободного назначения со входом в большой санузел, 
- просторная гостинная, 
- кухня-столовая, 
- гостевой санузел, отдельная обор ..., 37 фото</t>
  </si>
  <si>
    <t>https://www.cian.ru/sale/flat/327153940</t>
  </si>
  <si>
    <t>Предлагаем к продаже эксклюзив в доме с вековой историей (1913 г. постройки). Расположение — тихий переулок в центре Москвы, где сохранилась та самая атмосфера старой столицы, но при этом под окнами — вся современная инфраструктура Патриарших прудов.
Пространство:
Общая площадь 110 м² позволяет реализовать любые дизайнерские решения. Высота потолков 3,4 метра наполняет комнаты воздухом и светом, визуально увеличивая пространство. Апартаменты расположены на 2-м этаже кирпичного дома (5 этажей), что обеспечивает комфортную доступность и уютный вид из окон на зеленый двор.
Планировка:
В вашем распоряжении просторная гостиная для приема гостей, изолированная кухня, две полноценные спальни и отдельный кабинет — идеальное решение для работы из дома. Ванная комната оборудована современной душевой кабиной.
Локация и инфраструктура:
Это центр, в котором комфортно жить. Лучшие рестораны, авторские кофейни, бутики и знаменитые пруды — всё в шаговой доступности. Для автомобилистов — удобный вые ..., 15 фото</t>
  </si>
  <si>
    <t>https://www.cian.ru/sale/flat/333527949</t>
  </si>
  <si>
    <t>Номер лота: 107678. Просторная квартира 98,3 м² в историческом центре Москвы с авторским ремонтом.
Ищете место, где история архитектуры встречается с современным комфортом? Представляем квартиру в кирпичном доме в самом сердце столицы.
О квартире:
• Площадь: 98,3 м².
• Планировка: кухня-гостиная, спальня, комната свободного назначения, совмещённый санузел.
• Качественный ремонт: современная встроенная кухня, продуманная эргономика, окна выходят в тихий двор.
• Состояние: полностью готова к заселению, никаких скрытых работ.
Инфраструктура:
О доме и районе:
• Кирпичный дом с благоустроенной территорией.
• Подъезд после капитального ремонта, полностью обновлён.
• Спокойные соседи.
• Развитая инфраструктура: школы, детские сады, магазины и кафе в шаговой доступности.
• Транспорт: пешком до метро "Тверская", "Пушкинская", "Чеховская".
Документы:
• Два взрослых собственника.
• Свободная продажа.
Звоните, чтобы узнать подробности и записаться на просмотр!, 14 фото</t>
  </si>
  <si>
    <t>https://www.cian.ru/sale/flat/334642676</t>
  </si>
  <si>
    <t>Просторная квартира с одной спальней в доме "Спиридоновка, 12" на Патриарших прудах. Квартира общей площадью 117 м² расположена на последнем 12 этаже с одними из лучших видовыми характеристиками.
Выполнена отделка с использованием натуральных материалов — на полу массив ореха, в санузлах гранит и мрамор. Особый акцент в оформлении создается за счет панелей из дерева и графики на стенах.  Продуманы различные сценарии освещения. Квартира укомплектована кухонной техникой Gaggenau и Kupperbusch, подогрев полов в санузлах, японская сплит-система, шторы на электроприводе. Планировкой предусмотрено: кухня-гостиная, спальня с выходом на балкон, два санузла, постирочная зона и холл. Окна ориентированы на две стороны, открываются виды на город и башни "Москва-Сити". Высота потолков 3,4 метра.
Главное о доме. "Спиридоновка, 12" — дом на 46 квартир расположен в Пресненском районе. Отреставрированный фасад из бежевого клинкерного кирпича — первое, что видят гости, подходя к этому 12-этажному дом ..., 15 фото</t>
  </si>
  <si>
    <t>https://www.cian.ru/sale/flat/317410374</t>
  </si>
  <si>
    <t>Предлагаем стильные апартаменты площадью 143 кв.м. на Малой Бронной. В апартаментах выполнен дизайнерский ремонт.  Можно использовать как жилое помещение и как офис.
Презентабельная входная группа, охрана., есть лифт., 22 фото</t>
  </si>
  <si>
    <t>https://www.cian.ru/sale/flat/307581761</t>
  </si>
  <si>
    <t>Предлагаем стильные апартаменты на Малой Бронной. В апартаментах выполнен ремонт по индивидуальному проекту, Полностью оборудован мебелью и техникой от ведущих мировых производителей, класса "люкс", система приточно-вытяжной вентиляции, с климат-контролем.  
Планировка включает в себя:  гостиную, зону кухни, гардеробную, спальню, ванная комната с душевой. Презентабельная входная группа, охрана, есть лифт., 12 фото</t>
  </si>
  <si>
    <t>https://www.cian.ru/sale/flat/316274866</t>
  </si>
  <si>
    <t>Москва, Трехпрудный переулок, 10/2, ш. Волоколамское ( км до МКАД)</t>
  </si>
  <si>
    <t>id:641. 
Есть вещи, которые в квартире можно изменить: ремонт, мебель, цвет стен.
А есть то, что после покупки уже не добавишь - Тверской район, три станции метро в 5 минутах пешком, потолки 3,3 метра, два окна в комнате и тишину второй линии от Тверской.
Именно за это здесь стоит платить.
Квартира расположена в самом центре Москвы, в Тверском районе ЦАО, при этом дом спрятан от непосредственного шума Тверской улицы.
Вышли из дома - вы в центре событий. Вернулись - город остался снаружи.
О квартире
Одна из главных особенностей - потолки 3,3 метра.
В комнате сразу два окна, поэтому здесь много естественного света, а пространство ощущается более воздушным.
В кухне и санузле ремонт уже выполнен.
Коридор и прихожая требуют косметического обновления - и мы не будем называть это "дизайнерским потенциалом". Просто эти зоны можно сделать уже под себя.
При этом основная затратная часть ремонта кухни и санузла уже позади.
Окна выходят в тихий переулок.
И для квартиры в нескольких минутах  ..., 19 фото</t>
  </si>
  <si>
    <t>https://www.cian.ru/sale/flat/332759349</t>
  </si>
  <si>
    <t>К продаже предлагается просторная, стильная квартира в центре Москвы.   
Функциональная планировка включает в себя:     
— 2 спальни  
— кухня-гостиная  
— 1 совмещенный санузел  
— просторный коридор  
Квартира с дизайнерским ремонтом, со встроенной кухонной техникой. Вид из окон во двор. Шикарная локация. Паркинг во дворе.  
Великолепнейшее расположение. Прогулочные зоны в пешей доступности. Вся инфраструктура для жизни (дет. сады, школы, вузы, рестораны, кафе, салоны красоты). В нескольких минутах ходьбы станции метро: Тверская, Пушкинская, Чеховская. Свободная продажа.   
Звоните, с удовольствием расскажем Вам о квартире и оперативно организуем просмотр!, 24 фото</t>
  </si>
  <si>
    <t>https://www.cian.ru/sale/flat/334573603</t>
  </si>
  <si>
    <t>К покупке предлагается уютная, двухкомнатная квартира в тёплом кирпичном доме с ж/б перекрытиями, у Патриарших прудов.  
Квартира с интересной планировкой, расположена на 2х уровнях, высота потолка в зоне спальни — 3,8 м.  
Новый дизайнерский ремонт с использованием качественных материалов.  
Функциональной планировкой предусмотрено:  
-кухнягостиная с балконом;  
-спальня;  
-гардеробная;  
-ванная комната;  
-постирочная;  
-санузел.  
Квартира меблирована и полностью укомплектована всей необходимой техникой Asko.  
Чистый, ухоженный подъезд. Закрытый двор.  
 В шаговой доступности от м Маяковская, Пушкинская, Тверская.  
Великолепное расположение. Все рядом:  музеи, магазины, рестораны, прогулочные зоны.   
Один собственник, быстрый выход на сделку.  
Приглашаем на просмотр, организуем быстро и в удобное время., 20 фото</t>
  </si>
  <si>
    <t>https://www.cian.ru/sale/flat/333680932</t>
  </si>
  <si>
    <t>4-комнатные апартаменты на Патриарших прудах  
Характеристики:  
• Площадь: 110 м²  
• Этаж: 2 из 5  
• Высота потолков: 3,4 м  
• Кирпичный дом  
• Парковка во дворе за шлагбаумом  
Планировка:  
• Кухня  
• Просторная гостиная  
• Две спальни  
• Кабинет  
• Ванная комната с душевой кабиной  
О доме и локации:  
Исторический дом 1913г. с атмосферой старой Москвы расположен в самом центре Патриарших прудов. В пешей доступности лучшие рестораны, кофейни, магазины, прогулочные зоны и вся инфраструктура района.  
• 10 минут пешком до метро Пушкинская  
• Удобный выезд на Садовое кольцо  
• Тихий переулок в центре города  
Апартаменты подойдут как для собственного проживания, так и для инвестиции в недвижимость в одной из самых востребованных локаций Москвы., 13 фото</t>
  </si>
  <si>
    <t>https://www.cian.ru/sale/flat/330392817</t>
  </si>
  <si>
    <t>Продаётся замечательная квартира в знаковом месте. Исторический дом 1906 года архитектора И.М. Коровина. Квартира просторная, три изолированные спальни, просторная гостиная и кабинет. Два санитарных узла, постирочная. Большая и удобная зона кухни. Все окна квартиры выходят в тихий двор. имеется охрана. Двор закрыт. Во дворе есть машиноместо. Свободная продажа. Два взрослых собственника, 42 фото</t>
  </si>
  <si>
    <t>https://www.cian.ru/sale/flat/321701079</t>
  </si>
  <si>
    <t>Резиденция в клубном доме "ДОМ БАКСТ" на Патриарших прудах. 
Эксклюзивное предложение в одном из самых приватных проектов района. Квартира свободной планировки без отделки — редкая возможность создать интерьер, полностью отражающий Ваш образ жизни. Благодаря продуманной геометрии и панорамному остеклению, пространство легко трансформируется в элегантную городскую резиденцию. Предусмотрена возможность объединения с соседними лотами !!!
- 3/5 этаж 
- 160 метров 
- возможное присоединени соседних квартир: 152 м² + 185 м²
- высота потолков 3,5
О проекте:
Архитектура: Камерный дом на 18 квартир в стиле русского модерна с художественными панно по мотивам работ Льва Бакста.
Комфорт и технологии: Система "умный дом", центральное кондиционирование, приточно-вытяжная вентиляция с очисткой воздуха и фильтрация воды.
Приватность: Закрытый двор, круглосуточная охрана и видеонаблюдение.
Паркинг: Подземный паркинг (включая места для авто увеличенной длины), машиноместа доступны к покупке.
Наша к ..., 13 фото</t>
  </si>
  <si>
    <t>https://www.cian.ru/sale/flat/333497431</t>
  </si>
  <si>
    <t>Жилой дом построен по индивидуальному проекту архитектора А.И. Ефимова как жилищный кооператив "Кремлевский работник", в котором в разные периоды проживали такие знаменитости, как Валентина Серова, Юрий Любимов, Аркадий Райкин. Дом окружен усадьбами, особняками и памятниками архитектуры, а его удачное расположение в историческом районе Москвы, позволяет жителям пользоваться всей инфраструктурой районов Арбата, Патриарших прудов, Малой и Большой Никитской, Тверского и Никитского бульваров с известными торговыми галереями, бутиками, ресторанами, театрами и музеями.
Квартира занимает этаж целиком, а свой уникальный для дома формат приобрела путем объединения трех квартир и проведения полной реновации конструктивных элементов с заменой всех инженерных систем, окон и дверей на современные европейские аналоги, внедрения дополнительных современных систем кондиционирования, систем охраны и безопасности.
Планировочное решение квартиры идеально продумано для семьи с детьми, где каждый член семьи ..., 23 фото</t>
  </si>
  <si>
    <t>https://www.cian.ru/sale/flat/315037765</t>
  </si>
  <si>
    <t>Роскошная квартира в клубном доме БАКСТ — одном из самых выразительных и приватных проектов Патриарших прудов.
Квартира предлагается без отделки, со свободной планировкой — редкая возможность создать индивидуальное пространство, полностью соответствующее образу жизни будущего владельца. Продуманная геометрия и большие окна позволяют реализовать элегантный современный интерьер с просторной гостиной и приватной зоной спален.
Есть возможность объединения с соседними квартирами и создания по-настоящему уникальной городской резиденции.
По отдельной стоимости предлагаются машиноместа.
БАКСТ — камерный клубный дом всего на 18 квартир, расположенный в нескольких шагах от Патриарших прудов. Архитектура в стиле русского модерна дополнена художественными панно по мотивам знаменитых работ Льва Бакста, благодаря чему дом обладает совершенно особенным характером и легко узнаваемым обликом.
Инженерное оснащение соответствует уровню современной премиальной резиденции: система умный дом, приточно-вытяж ..., 10 фото</t>
  </si>
  <si>
    <t>https://www.cian.ru/sale/flat/332909422</t>
  </si>
  <si>
    <t>https://www.cian.ru/sale/flat/332910840</t>
  </si>
  <si>
    <t>https://www.cian.ru/sale/flat/334370838</t>
  </si>
  <si>
    <t>https://www.cian.ru/sale/flat/334575237</t>
  </si>
  <si>
    <t>https://www.cian.ru/sale/flat/334575230</t>
  </si>
  <si>
    <t>Предлагается уютная дизайнерская квартира на Патриарших прудах.   
В квартире сделан качественный дизайнерский ремонт с заменой всех коммуникаций.   
На полу уложена инженерная доска, кондиционирование установлено в каждой комнате.   
Планировка полностью узаконена, докуплены электрические мощности в размере 15 кВт.  
В квартире спланирована просторная столовая-гостиная 53 м2, одна главная спальня с гардеробной и су, а так же гостевая спальня (кабинет), отдельный СУ и постирочная. Спальни выходят в тихий двор.  
Железобетонные перекрытия. Отличные виды на Москва-Сити и город.  
Парковка во дворе под шлагбаум., 22 фото</t>
  </si>
  <si>
    <t>https://www.cian.ru/sale/flat/333676584</t>
  </si>
  <si>
    <t>Москва, Большой Палашевский переулок, 14/7</t>
  </si>
  <si>
    <t>Предлагаем стильную квартиру в самом центре старой Москвы. В квартире выполнен авторский дизайнерский ремонт в европейском стиле с применением материалов премиальных фабрик. 5 больших окон на 2 стороны света: в уютный Палашевский переулок и в тихий двор. 2 квартиры на площадке.
Планировочным решением предусмотрены: атмосферная гостиная- столовая- кухня, оборудованная всей необходимой бытовой техникой, 2 отдельные спальни, уютная ванная комната с сантехникой ведущих европейских марок, просторная гардеробная комната и холл.
В 2024 году в доме закончился капремонт. Проведена замена и ремонт всех внутридомовых инженерных сетей (водоснабжение, водоотведение, теплоснабжение, электроснабжение), сделан ремонт фасада и подъездов.
Хорошая транспортная доступность. Удобный выезд на Тверскую, Бульварное и Садовое кольцо. В пешей доступности метро, рейтинговые школы, дошкольные учреждения, объекты культурного наследия, памятники, музеи, театры, магазины, рестораны, прогулочные зоны отдыха.
Один ..., 23 фото</t>
  </si>
  <si>
    <t>https://www.cian.ru/sale/flat/332205728</t>
  </si>
  <si>
    <t>Москва, Малая Бронная улица, 14</t>
  </si>
  <si>
    <t>ID 47965. Резиденция на Малой Бронной  квартира в клубном доме для тех, кто ценит приватность  всего 6 квартир в здании.
Адрес: Малая Бронная, клубный малоквартирный дом, 2004 года постройки. Площадь: 177 кв.м. Потолки: 3,5 м.
Одна квартира на этаже  абсолютная приватность в самом сердце Патриарших прудов. Лифт с индивидуальным ключом, приходит в свою закрытую прихожую. Огороженная территория, наземное парковочное место, парадная входная группа в духе закрытой клубной резиденции.
Планировочное решение:
Пространство организовано с ощущением воздуха и простора, который задают потолки в 3,5 метра.
Гостиная  парадная, наполненная светом, с возможностью зонирования под каминную зону и домашний кабинет.
Кухня-столовая  функциональная, рассчитанная на семейные ужины и приёмы в узком кругу.
Три спальни  каждая с комфортным метражом, приватные, без сквозных проходов.
Две ванных комнаты и гостевой туалет  раздельная схема, удобная для семьи и гостей.
Лоджия и балкон  дополнительный контакт с  ..., 25 фото</t>
  </si>
  <si>
    <t>https://www.cian.ru/sale/flat/334518203</t>
  </si>
  <si>
    <t>Представляем вашему вниманию возможность стать обладателем изысканной недвижимости в самом сердце исторического центра — в месте, которое пользуется неизменной популярностью и престижем. Просторная квартира площадью 120,7 кв.м расположена на 5 этаже и сочетает в себе элегантность, комфорт и аутентичный шарм.
Планировка:
 Просторная кухня-гостиная 
 Две уютные спальни
 Две гардеробные комнаты 
 Два санузла 
 Авторский ремонт, выполненный с безупречным вкусом и использованием качественных материалов.
 Высокие потолки создают ощущение свободы и простора.
 Окна на три стороны наполняют квартиру естественным светом.
 Закрытый двор с парковкой и въезд через шлагбаум 
 Идеальные первичные документы. Полная сумма в договоре — сделка абсолютно прозрачна и безопасна.
Важные нюансы:
 Квартира продается без мебели.
 В доме нет лифта — это особенность исторической застройки, но 5 этаж не станет преградой для тех, кто ценит атмосферу старинного центра и готов наслаждаться пешими прогулками по живо ..., 23 фото</t>
  </si>
  <si>
    <t>https://www.cian.ru/sale/flat/296891864</t>
  </si>
  <si>
    <t>Квартира в одном из самых закрытых и желанных домов Москвы — клубном комплексе "Гранатный, 6" на Патриарших прудах.
Этот уникальный проект создан для истинных ценителей столичного аристократического образа жизни, сочетающего богатую историю района с современными стандартами комфорта.
Архитектура и отделка:
- Особняк из натурального итальянского камня. 
- Три корпуса с авторскими резными орнаментами: византийский, древнерусский и старомосковский мотивы. 
- Высокие потолки, панорамные окна, индивидуальные камины. 
- Квартира под индивидуальную отделку — реализация любых дизайнерских решений.
(White Boxe)
Инфраструктура и сервисы:
- Приватная благоустроенная территория с ландшафтным дизайном и закрытым двором. 
- Круглосуточная охрана и консьержслужба. 
- Интеллектуальная система управления зданием. 
- Приватная библиотека с редкими изданиями. 
- Детская игровая комната с педагогом.
Локация и окружение:
- В 3х минутах пешком от Патриарших прудов, менее 2 км от Кремля. 
- Рядом — ресто ..., 20 фото</t>
  </si>
  <si>
    <t>https://www.cian.ru/sale/flat/332232023</t>
  </si>
  <si>
    <t>Большая Бронная 2/6 | Москва
Продажа срочная - поэтому такая отличная цена для этого прекрасного Дома! торга нет 
Продаётся квартира площадью 90 м² в одном из самых атмосферных адресов Москвы — в двух шагах от Патриарших прудов.
О квартире:
— Просторная гостиная с панорамным остеклением
— 2 спальни
— Постирочная
— Кухня с классическими фасадами и натуральным мрамором
— Ванная с мозаичной плиткой и латунной фурнитурой
— Отделка из натуральных материалов: мрамор, массив дуба, латунь
тотальный капитальный ремонт с нуля сделан в 2020 году 
много дорогих встроенных заказных шкафов и мебели! 
Преимущества дома:
Цековский дом, в котором жил Юрий Никулин и Святослав Рихтер!
Цековский происходит от аббревиатуры ЦК — Центральный Комитет.
Соответственно, цековскими называли дома, которые строились и распределялись по линии этого аппарата — жильё для партийной верхушки, для высокопоставленных чиновников, для номенклатуры самого высокого разбора. Это было ведомственное жильё особого, элитно ..., 23 фото</t>
  </si>
  <si>
    <t>https://www.cian.ru/sale/flat/334668415</t>
  </si>
  <si>
    <t>К покупке предлагается уютная однокомнатная квартира в тёплом кирпичном доме с железобетонными перекрытиями у Патриарших прудов.  
Планировочным решением предусмотрено:  
-кухня;  
-гостиная со спальной зоной и мягкой зоной с ТВ;  
-совмещённый санузел.  
Окна выходят на зелёную придомовую территорию Ермолаевского переулка. Подъезд чистый и ухоженный.  
Парковка во дворе под шлагбаумом — для жителей дома.  
Один собственник, без обременений. Возможен быстрый выход на сделку.  
В шаговой доступности — станции метро "Маяковская", "Пушкинская", "Тверская".  
Великолепное расположение: всё рядом — музеи, магазины, рестораны, прогулочные зоны.  
Приглашаем на просмотр: организуем его быстро и в удобное для вас время., 16 фото</t>
  </si>
  <si>
    <t>https://www.cian.ru/sale/flat/334575162</t>
  </si>
  <si>
    <t>https://www.cian.ru/sale/flat/334515331</t>
  </si>
  <si>
    <t>Роскошная квартира в клубном доме БАКСТ — одном из самых выразительных и приватных проектов Патриарших прудов.
Квартира предлагается без отделки, со свободной планировкой — редкая возможность создать индивидуальное пространство, полностью соответствующее образу жизни будущего владельца. Продуманная геометрия и большие окна позволяют реализовать элегантный современный интерьер с просторной гостиной и приватной зоной спален.
Есть возможность объединения с соседними квартирами и создания по-настоящему уникальной городской резиденции.
По отдельной стоимости предлагаются машиноместа.
БАКСТ — камерный клубный дом всего на 18 квартир, расположенный в нескольких шагах от Патриарших прудов. Архитектура в стиле русского модерна дополнена художественными панно по мотивам знаменитых работ Льва Бакста, благодаря чему дом обладает совершенно особенным характером и легко узнаваемым обликом.
Инженерное оснащение соответствует уровню современной премиальной резиденции: система умный дом, приточно-вытяж ..., 11 фото</t>
  </si>
  <si>
    <t>https://www.cian.ru/sale/flat/332908998</t>
  </si>
  <si>
    <t>Предлагается к продаже уютная 3-х комнатная квартира в историческом центре Москвы, в одном из самых атмосферных адресов, на Большой Бронной улице!
 - Квартира расположена на 5 этаже 6-ти этажного кирпичного, доходного дома В.С.Пьяновой-М.С.Мамонтовой.  В 1952 году была проведена надстройка 5 и 6 этажа и установлен лифт. Высота потолков-3,6 метров.
 - В квартире выполнен хороший дизайнерский ремонт, перепланировка узаконена. Комфортная для жизни планировка: кухня-гостиная 21 кв.м., спальная зона 16 кв.м с гардеробной 4 кв.м., кабинет 12, 2 кв.м , большой санузел с душевой кабиной 5,6 кв.м. Каждый метр квартиры использован очень функционально. Встроенная кухня укомплектована всей необходимой для жизни техникой:  посудомоечная машина, духовой шкаф, холодильник. Кабинет можно использовать и  как дополнительную спальную зону. Прекрасный вид из окон. 
 -  Чистый и отремонтированный подъезд. Дом после капитального ремонта, проведённого в 2017 г., оборудован пассажирским лифтом. Рядом с домом  ..., 23 фото</t>
  </si>
  <si>
    <t>https://www.cian.ru/sale/flat/334394971</t>
  </si>
  <si>
    <t>Москва, Гранатный переулок, 8С4</t>
  </si>
  <si>
    <t>Лот f4016 К продаже предлагается роскошный пентхаус площадью 901,2 м², расположенный на 8 этаже клубного жилого комплекса "Гранатный Палас" — одного из самых камерных и статусных домов района Патриаршие пруды, всего на 17 квартир.
Из панорамных окон и с террас открываются впечатляющие виды на центр Москвы.
Квартира предлагается без отделки (shell &amp; core) со свободной планировкой, что предоставляет редкую возможность реализовать индивидуальный дизайн-проект премиального уровня с учетом личных предпочтений и сценариев жизни.
Планировочные решения:
• Площадь: 901,2 м²
• Возможная планировка: до 8 комнат
• Ванные комнаты: 4
• Террасы: несколько, с возможностью обустройства лаунж-зон и зимнего сада
• Планировочный потенциал: формат signature, высокий уровень приватности
Дополнительно:
•       В стоимость включены 4 машиноместа в подземном паркинге общей площадью 58,3 м²
Инфраструктура ЖК:
Жилой комплекс создан для тех, кто ценит комфорт, безопасность и приватность:
• закрытая охраня ..., 34 фото</t>
  </si>
  <si>
    <t>https://www.cian.ru/sale/flat/284989203</t>
  </si>
  <si>
    <t>https://www.cian.ru/sale/flat/332295342</t>
  </si>
  <si>
    <t>Лот 1000346. Светлана Алиева.
Продается 2-х комнатная квартира с хорошим, свежим, качественным ремонтом в историческом центре Москвы, в Благовещенском переулке. 
Расположена на 4 этаже 8-этажного кирпичного дома, потолки 3 метра. 
Квартира уютная, светлая и солнечная. Окна смотрят во двор, в квартире очень тихо.
Общая площадь 62 кв.м. 
Спальня со встроенным шкафом для хранения на всю стену, большая просторная гостиная и отдельная кухня со всторенной мебелью. Один совмещенный санузел с ванной, кондиционер и бойлер. 
Квартира полностью меблирована, всё остается.
Дом кирпичный, хорошая тепло- и звукоизоляция, в хорошем состоянии, оснащен пассажирским лифтом. Есть машиноместо во дворе.
До метро Маяковская 3 минуты пешком. До Патриарших Прудов - 5 минут пешком.
Бонус партнерам 50%.
Есть презентации в pdf на русском или английском для партнеров. Член ассоциации агентств элитной недвижимости AREA., 26 фото</t>
  </si>
  <si>
    <t>https://www.cian.ru/sale/flat/332411856</t>
  </si>
  <si>
    <t>Предлагаем вашему вниманию восхитительный двухуровневый пентхаус, расположенный в самом сердце исторической Москвы, всего в нескольких шагах от живописных Патриарших прудов. Этот стильный фасадный дом, недавно прошедший полную реконструкцию, окружен великолепными особняками, создавая атмосферу утонченной роскоши и уюта.
Внутри вас ждет продуманная планировка с железобетонными перекрытиями, обеспечивающими надежность и долговечность. Приятно удивит отремонтированный подъезд, который сразу же настраивает на позитивный лад. Высота потолков первого уровня достигает 3,3 метра, что создает ощущение простора, а на втором уровне — 2,9 метра, добавляя уют и интимность.
Большие окна наполняют квартиру обилием света, открывая "парижские" виды на живописные крыши и отреставрированные особняки, которые словно переносят вас в атмосферу европейской столицы. Удобная планировка включает две отдельные спальни, два современных санузла и просторный опен-спейс, где гостиная плавно переходит в столо ..., 18 фото</t>
  </si>
  <si>
    <t>https://www.cian.ru/sale/flat/332177092</t>
  </si>
  <si>
    <t>2-комнатная квартира с панорамным видом в самом сердце Патриарших прудов!
Редкое предложение в одном из самых престижных и атмосферных районов Москвы.
Квартира расположена на высоком 8 этаже кирпичного дома и выходит в тихий зелёный двор. Из окон и с балкона открывается потрясающий вид на историческую Москву и высотку. Благодаря высоте и ориентированности окон в квартире всегда много света, тишины и чувства пространства.
Преимущества объекта:
• Уникальный вид и тишина: редкое сочетание панорамы центра города и абсолютного тишины во дворе
• Высокий 8 этаж: много естественного света в течение всего дня
• Атмосфера: сохранён классический паркет ёлочкой из натурального дерева
• Функциональная планировка: светлая гостиная с балконом, изолированная спальня гардеробной комнатой, удобная кухня без лишних коридоров
• Потенциал: отличная возможность реализовать индивидуальный дизайн-проект без переплаты за чужой ремонт
Локация и дом:
Дом расположен во Вспольном переулке — в нескольких минутах п ..., 13 фото</t>
  </si>
  <si>
    <t>https://www.cian.ru/sale/flat/332617828</t>
  </si>
  <si>
    <t>Москва, Спиридоньевский переулок, 6</t>
  </si>
  <si>
    <t>Министерский кирпичный дом 1970 г постройки, один из лучших домов, построенных в это время. 
   О КВАРТИРЕ:
Квартира 2х комнатная, 77 м2, с тремя лоджиями, после реконструкции с полным демонтажом, по проекту известного архитектурного бюро, стала  евротрешкой с общей площадью 91 м2.
Квартира светлая и теплая с большими, увеличенными во время реконструкции окнами, остекленной в пол лоджией объединенной с кухней-гостиной, двумя изолированными комнатами со своими лоджиями. 
Все строительные и отделочные материалы использовались самых лучших производителей. Установленные сантехника, мебель и техника лучших мировых брендов. 
Квартира готова к проживанию, находиться в идеальном состоянии, заходи и живи. 
   О ДОМЕ:
Исторический центр Москвы  Дом малоквартирный, современный, почти на век моложе соседних домов. 
Преимущества квартир в этом доме:
- Ж/Б перекрытия;
- большие окна и лоджии;
- современные коммуникационные системы;
- два лифта;
- консьерж;
- кладовые на минус первом этаже;
- высокие ..., 41 фото</t>
  </si>
  <si>
    <t>https://www.cian.ru/sale/flat/334403030</t>
  </si>
  <si>
    <t>Министерский кирпичный дом 1970 г постройки, один из лучших домов, построенных в это время. 
О ДОМЕ:
Исторический центр Москвы  Дом малоквартирный, современный, почти на век моложе соседних домов. 
Преимущества квартир в этом доме:
- Ж/Б перекрытия;
- большие окна и лоджии;
- современные коммуникационные системы;
- два лифта;
- консьерж;
- кладовые на минус первом этаже;
- высокие потолки( 3.1 м.) 
- три квартиры на этаже;
- просторный лифтовой холл, 
- большой двор, въезд через шлагбаум, детская и спортивная площадки, сквер, много парковочных мест. 
- Все эти преимущества перед окружающими этот дом домами помогают сделать выбор в его пользу.
О КВАРТИРЕ:
Квартира 4х комнатная, видовая, очень светлая, большие, приспущенные во время реконструкции окна, на три стороны света. 
Квартира находится на последнем 10м этаже с панорамными видами на тихий центр. 
Над нами тех этаж, есть выход на крышу.
Общая площадь 131м2 без учета 2х лоджий, с учетом лоджий 140м2.
В квартире произведена масштабна ..., 29 фото</t>
  </si>
  <si>
    <t>https://www.cian.ru/sale/flat/334418358</t>
  </si>
  <si>
    <t>Продается светлая просторная 2-х комнатная квартира 62 м² в центре Москвы. Окна во двор, потолки 3 метра, свежий ремонт и мебель, которая остаётся покупателю.
Большая гостиная, спальня со встроенным шкафом во всю стену и отдельная кухня 10 м² с обеденной зоной. Светлый интерьер, кондиционер и бойлер. Совмещённый санузел с ванной.
4-й этаж 8-этажного кирпичного дома с пассажирским лифтом. В дополнении идет парковочное место во дворе, которое принадлежит и закреплено за Вами!
Около 3 минут пешком до метро "Маяковская". Рядом Триумфальная площадь, в пешей доступности — Патриаршие пруды. Можно жить в центре, ходить пешком на встречи и прогулки и возвращаться в тихую и уютную квартиру.
Документы;
Свободная продажа
1 собственник
Основание — договор купли-продажи
Никто не зарегистрирован
Обременений нет, маткапитал не использовался.
Звоните — отвечу на вопросы и договоримся об удобном времени просмотра.
Арт. 145084612, 15 фото</t>
  </si>
  <si>
    <t>https://www.cian.ru/sale/flat/334340648</t>
  </si>
  <si>
    <t>Арт. 87854758. Торг! Бонус коллегам!
Предлагается 3-х комнатная квартира в районе Патриарших прудов в известном фасадном доме на Малой Никитской улице.
Все комнаты изолированы, функциональная планировка: отдельная кухня, гостиная, 2 изолированные спальни, с/у. Окна выходят в тихий двор, кухня и гостиная на Гранатный переулок. Высокие потолки - 3 метра.
Во дворе дома предусмотрена парковка за шлагбаумом, доступная исключительно для жителей, что является значительным преимуществом в условиях городской жизни.
Прекрасное расположение в историческом районе Москвы. В пешей доступности - Тверской бульвар, театры, гастробары и рестораны; 10 минут пешком до Патриаршего пруда, 15 минут до Арбата, Храма Христа Спасителя и Манежной площади. Удобный быстрый выезд на Садовое кольцо.
Участник AREA - Ассоциации Агентств Элитной Недвижимости, 12 фото</t>
  </si>
  <si>
    <t>https://www.cian.ru/sale/flat/333091461</t>
  </si>
  <si>
    <t>Эксклюзив! Ключи на руках, показы оперативно!
Район  один из самых престижных и востребованных в столице — на живописных Патриарших прудах. 
Квартира оформлена с безупречным вкусом известным архитектурным бюро. 
 Планировка квартиры включает:
• Просторную прихожую
• Гостевой санузел, оформленный с изяществом.
• Удобную постирочную комнату 
• Великолепная гостиная с выходом на балкон.
• Шикарную мастер-спальню с собственным санузлом, а также просторной гардеробной
• Уютную гостевую/детскую спальню с отдельным санузлом.
Использованы только самые дорогие материалы, включая ценные породы камня и дерева, а также текстиль высшего качества. Современная бытовая техника от Miele и Gaggenau, итальянская мебель и стильные светильники от известных люксовых брендов создают атмосферу безупречного стиля и комфорта.
• Высокие потолки и большое количество окон наполняют пространство естественным светом.
• Установлены кондиционеры для вашего удобства в любое время года.
Закрытая территория с детс ..., 24 фото</t>
  </si>
  <si>
    <t>https://www.cian.ru/sale/flat/325407789</t>
  </si>
  <si>
    <t>Москва, Вспольный переулок, 14</t>
  </si>
  <si>
    <t>Просторная пятикомнатная квартира в камерном доме 1912 года постройки рядом с Патриаршими прудами.
Дом рассчитан всего на 23 квартиры и расположен в тихих переулках старой Москвы, окруженный высокими деревьями и выразительной архитектурой исторической застройки. Локация сочетает приватность и исключительную близость к культурной и гастрономической жизни центра города  все в пешей доступности.
Квартира общей площадью 242 квадратных метра находится на комфортном 3-м этаже. В доме установлен лифт, что является значимым преимуществом для исторического здания данного периода. Окна выходят на три стороны света, с двумя эркерами, мастер спальней, гардеробной и кладовой. Просторная прихожая открывает обзор на веерное расположение комнат. Предусмотрены два полноценных санузла.  Приложенная к фотографиям схема предоставляет возможность ознакомиться с планом квартиры более подробно. 
Высота потолков  4,5 метра. Массивные кирпичные стены и железобетонные перекрытия подчеркивают основательность и с ..., 20 фото</t>
  </si>
  <si>
    <t>https://www.cian.ru/sale/flat/331624680</t>
  </si>
  <si>
    <t>Арбатская</t>
  </si>
  <si>
    <t>Москва, Малая Никитская улица, 2/1С1</t>
  </si>
  <si>
    <t>Предлагается к продаже просторная трёхкомнатная квартира в доме у Никитских ворот, площадью- 108,6 м² , в Пресненском районе, в  одном из самых престижных  мест  Москвы . Дом  расположен в 10 минутах пешком до Кремля.
Данный объект представляет собой редкое инвестиционное предложение в историческом центре столицы, где количество сопоставимых по характеристикам квартир крайне ограничено, а спрос стабильно высокий. Такие локации традиционно демонстрируют устойчивый рост стоимости и высокую ликвидность на вторичном рынке. 
Оригинальная планировка: три комнаты площадью 20,3 м², 27,6 м² и 24,1 м², кухня 11,9 м², холл 12  м², большой раздельный санузел, высокие потолки. Малонаселенный подъезд, две квартиры на этаже, пассажирский лифт,  два входа в подъезд (с улицы и со двора).
Квартира расположена на третьем этаже, арочные окна выходят на две противоположные стороны, с восточной стороны на знаменитый Тверской бульвар, с  западной стороны в тихий закрытый дворик с парковкой, с зелеными насажд ..., 15 фото</t>
  </si>
  <si>
    <t>https://www.cian.ru/sale/flat/332950705</t>
  </si>
  <si>
    <t>Москва, Большой Палашевский переулок, 10</t>
  </si>
  <si>
    <t>многоуровневая</t>
  </si>
  <si>
    <t>Квартира для большой семьи в современном клубном доме на Патриарших. 
Камерный дом с закрытым приватным двором, круглосуточной охраной и подземным паркингом. 
Планировка продумана для семьи с двумя или тремя детьми.
Мастер-спальня, с собственной ванной, гардеробной и кабинетом отделена от двух детских комнат. 
Гостиная и кухня-столовая образуют общую зону почти 75 м². 
Три санузла, отдельная постирочная и несколько гардеробов позволяют организовать повседневную жизнь большой семьи без компромиссов в бытовых деталях.
Патриаршие пруды, Тверской бульвар, театры, школы и рестораны находятся в пешей доступности. 
Исторический центр здесь остаётся повседневной средой  при комфорте и приватности современного дома, 21 фото</t>
  </si>
  <si>
    <t>https://www.cian.ru/sale/flat/335012855</t>
  </si>
  <si>
    <t>Лот: 73971. Эксклюзивно в продаже только у NF GROUP. В продаже видовая квартира с дизайнерской отделкой в клубном жилом комплексе "Козихинский, 7", расположенном в самом сердце Патриарших прудов - районе, который давно стал символом статуса, безупречного вкуса и особого московского образа жизни.
Планировка включает:
- просторную гостиную с зоной кухни и выходом на застеклённую веранду,
- мастер-спальню с собственной ванной комнатой, гардеробной и выходом на приватную террасу,
- две дополнительные спальни с собственными ванными комнатами,
- гостевой санузел,
- постирочную,
- серверную.
Пространство оформлено в современной эстетике с акцентом на натуральные материалы и благородные фактуры. Интерьер выдержан в спокойной, элегантной гамме, где каждая деталь работает на ощущение комфорта и респектабельности. Установлена итальянская кухня, оснащённая бытовой техникой ZUG, включая винный шкаф, а центральное место в обеденной зоне занимает стол из массива натурального дерева. За высокий уров ..., 24 фото</t>
  </si>
  <si>
    <t>https://www.cian.ru/sale/flat/328450802</t>
  </si>
  <si>
    <t>Лот: 56274. В продаже квартира с дизайнерской отделкой в Большом Козихинском переулке - в одном из самых атмосферных и востребованных районов центра Москвы. Локация, где исторические особняки соседствуют с лучшими ресторанами города, а размеренный ритм Патриарших прудов сочетается с близостью ко всем преимуществам центра столицы.
Планировка:
- гостиная с зоной кухни,
- две спальни,
- два полноценных санузла,
- гардеробная.
Высота потолков — 2,8 м.
Интерьер выполнен в современном стиле в спокойной светлой палитре. Пространство полностью меблировано и оснащено качественной бытовой техникой. Продуманные системы хранения, лаконичные линии и натуральные фактуры создают атмосферу уюта и комфорта, позволяя переехать сразу после покупки, не тратя время на дополнительные работы.
Окна квартиры выходят в тихий благоустроенный двор, что особенно ценно для жизни в центре Москвы: здесь царят тишина и приватность, несмотря на близость к главным точкам притяжения района.
Для жителей предусмотрена  ..., 19 фото</t>
  </si>
  <si>
    <t>https://www.cian.ru/sale/flat/323834509</t>
  </si>
  <si>
    <t>Лот: 41171. В продаже двухуровневая квартира с камином на Патриарших прудах — в одном из самых атмосферных и статусных районов центра Москвы, где историческая застройка, тихие переулки и камерная городская жизнь формируют особое ощущение приватности и уюта.
Квартира расположена в дореволюционном особняке с сохранённой архитектурой и аккуратными общими зонами. Здесь ощущается подлинная Москва с характером: невысокая застройка, зелёные дворы и спокойная жилая среда в нескольких шагах от Патриарших.
Интерьер выполнен в классическом стиле с использованием традиционных материалов. Пространство полностью меблировано и оснащено бытовой техникой, включая системы кондиционирования. Камин и продуманная планировка создают ощущение загородного дома в центре города.
Планировка:
1 уровень: гостиная
2 уровень: зона отдыха с камином, бильярдом и сауной, три спальни, кабинет или дополнительная спальня, четыре санузла, гардеробная
Окна ориентированы в тихий внутренний двор, что обеспечивает тишину и ..., 22 фото</t>
  </si>
  <si>
    <t>https://www.cian.ru/sale/flat/320147431</t>
  </si>
  <si>
    <t>Номер лота: вт-0434901.
Продается 2-х к. кв-ра в доходном доме К. М. Алфёрова. Историческое здание, построенное в 1914 году, реконструкция прошла в 1970 г. Объект выполнен с использованием ж/б стен и перекрытий. Дом кирпичный, отопление центральное, газа нет. 
В кв-ре есть рабочий камин с отдельным дымоходом, установлены теплые полы в ванной комнате, коридоре, кухне. Вся мебель остаётся в квартире. 
Имеется технический этаж.
Вся инфраструктура центра города, достопримечательностями, окружением.
 1 взрослый собственник, 1 прописан. Свободная продажа.
 Содействие в получении специальных условий и преференций по ипотеке., 27 фото</t>
  </si>
  <si>
    <t>https://www.cian.ru/sale/flat/333263779</t>
  </si>
  <si>
    <t>Номер лота: вт-0435765.
Предлагаем Вашему вниманию 1 ком.квартиру в Тверском районе ЦАО г. Москвы. 
Высокие потолки, панорамный вид из окон. Дом кирпичный с перекрытиями ЖБ.
Ремонт сделан на кухне и санузле. Содействие в получении специальных условий и преференций по ипотеке., 13 фото</t>
  </si>
  <si>
    <t>https://www.cian.ru/sale/flat/334707588</t>
  </si>
  <si>
    <t>Москва, Богословский переулок, 7</t>
  </si>
  <si>
    <t>Номер лота: вт-0435852.
Продается эксклюзивная двухуровневая квартира, в жилом доме у Патриарших Прудов, по адресу Богословский переулок дом 7.
В квартире выполнен качественный дизайнерский ремонт с применением натуральных премиальных материалов. 4 балкона.
Респектабельный район. В шаговой доступности - МХАТ Горького, театр Маяковского, Консерватория и Кремль.
Квартира без обременений. Перепланировка полностью узаконена. Один взрослый собственник. Свободная продажа.
 Содействие в получении специальных условий и преференций по ипотеке., 9 фото</t>
  </si>
  <si>
    <t>https://www.cian.ru/sale/flat/334973266</t>
  </si>
  <si>
    <t>https://www.cian.ru/sale/flat/334216703</t>
  </si>
  <si>
    <t>Роскошные апартаменты с четырьмя спальнями площадью 350 м² занимают весь пятый этаж семиэтажного клубного дома "У Патриарших", расположенного всего в 9 минутах ходьбы от станции метро "Пушкинская". Это пространство для тех, кто ценит уединённость, эстетику и безупречное качество жизни в сердце Москвы. 
Интерьер выполнен в спокойной цветовой палитре с использованием благородных материалов: мрамора, оникса и травертина. Потолки высотой 3,2 метра и окна "в пол" зрительно увеличивают пространство, а мебель и техника от европейских брендов создают уютную атмосферу. Система "умный дом" позволяет дистанционно управлять освещением, климатом и безопасностью. Для вашего комфорта также предусмотрена многоступенчатая очистка воздуха и воды.
Функциональная планировка включает парадную прихожую с большой гардеробной и санузлом, полностью укомплектованную кухню, гостиную площадью 74 м², четыре мастер-спальни с ванными комнатами и гардеробными, фитнес-зал с тренажёрами и душевой с хаммамом, кабинет- ..., 23 фото</t>
  </si>
  <si>
    <t>https://www.cian.ru/sale/flat/324623215</t>
  </si>
  <si>
    <t>Москва, Ермолаевский переулок, 7</t>
  </si>
  <si>
    <t>УНИКАЛЬНОЕ ПРЕДЛОЖЕНИЕ С ВИДОМ НА ПАТРИАРШИЕ ПРУДЫ!
 Исторический доходный дом П. А. Николаева (арх. Д. Д. Зверев, нач. XX в.) — дух московского модерна и купеческой застройки. Всего 2 квартиры на площадке, полная приватность.
 Планировка и пространство:
 3-й этаж, окна столовой-гостиной выходят непосредственно на пруд; спальня — в тихий двор;
 Просторный холл (9 м²) + гостевой санузел;
 Гостиная-столовая — 34 м² — главное место притяжения с панорамным видом на исторический центр;
 Спальня — 18 м² с двухстворчатыми дверями, своей гардеробной и ванной комнатой;
 Отдельная постирочная с бойлером.
 Особенности:
 Высота потолков — 3,20 м;
 Ремонт в изысканной цветовой гамме — сразу притягивает взгляд;
 Полная меблировка, всё готово к проживанию;
 Идеально для пары или одного человека, а также для сдачи в аренду.
 Условия:
 Без обременений, один собственник;
 Полная стоимость в договоре;
 Показ в любое время по договорённости.
 Звоните! Эта квартира ждёт своего Хозяина!, 50 фото</t>
  </si>
  <si>
    <t>https://www.cian.ru/sale/flat/327290040</t>
  </si>
  <si>
    <t>ЖК Гранатный 6, класс De Luxe, один из самых закрытых и престижных клубных домов Москвы. Комплекс расположен в тихом переулке Патриарших прудов. К продаже предлагается квартира площадью 163 м2, с 3 мастер-спальнями, в  отделке White Box.
Преимущества
- Основные трудоемкие работы уже выполнены.
- Квартира с тщательно продуманной планировкой, предназначалась для собственного проживания.
- Лучшая локация, дом расположен вдали от шумных магистралей.
Планировка: прихожая, гостевой с/у, постирочная, кухня-гостиная, 3 мастер спальни с ванными и гардеробными. Потолки 3,2 м. Резиденция имеет 2-й вход, такое решение доступное лишь ограниченному числу квартир комплекса. 
Описание
Стены идеально выровнены, оштукатурены, подготовлены к декорированию. Установлена дополнительная шумоизоляция. Залита стяжка пола, разведены инженерные коммуникации.
Сети водоснабжения, отопления выполнены из материалов, являющихся эталоном надежности в Европе, с маркировкой Европейской сертификации: DVGW, KIWA. Тру ..., 10 фото</t>
  </si>
  <si>
    <t>https://www.cian.ru/sale/flat/331289794</t>
  </si>
  <si>
    <t>ID объявления: 600830 ПРЯМОЙ ПРЕДСТАВИТЕЛЬ СОБСТВЕННИКА ! ЭКСКЛЮЗИВ ! ОПЕРАТИВНЫЙ ПОКАЗ !  Уважаемые покупатели! Предлагаем Вашему вниманию просторную, функциональную четырех-комнатную квартиру площадью 119,3 м² в историческом доме на Большом Козихинском переулке. 
Информация о квартире: 
Метраж: 119,3 м² 
Этаж / этажность: 2 / 4 
Планировочное решение: гостиная с камином, три спальни, кухня, два совмещённых санузла (джакузи + душевая кабина), холл с гардеробными шкафами 
Отделка: классический стиль 
Особенности: исторический дом 1917 года (архитектор Пиотрович) 
Одна квартира на этаже (всего 3 квартиры в подъезде), камерность и приватность 
Камин в гостиной 
Закреплённое машино-место во дворе 
О доме: исторический дом после капитального ремонта
Видеонаблюдение
Презентабельный подъезд, малоквартирный дом 
Статусное окружение 
Локация и окружение: расположение — исторический центр Москвы
Транспортная доступность: 5-7 минут пешком до метро Пушкинская / Тверская / Чеховская Престижная ..., 16 фото</t>
  </si>
  <si>
    <t>https://www.cian.ru/sale/flat/333336239</t>
  </si>
  <si>
    <t>Код объекта: 2353895.
Продается уютная 3-х к-ра в отличной локации: в 8 минутах от трех станций метро, в самом сердце столицы, с выходом к Патриаршим прудам, в пешей доступности от Театра Сатиры, Московской государственной академической филармонии — 3 к квартира на улице Большой Козихинский, 18/8 — идеальное жильё для семьи или тех, кто ценит пространство, все блага столичной жизни в центре города.
Описание квартиры
*Квартира расположена на комфортном 3-м этаже 4-ти этажного кирпичного дома 1906 г, доходный дом В.Н. Субботина.
*Общая площадь 60,5 м2, жилая 39,2 м2, кухня 7 м.
*Очень светлая квартира с удобной планировкой, под ремонт, что позволяет воплотить в жизнь ваши смелые дизайнерские идеи! В объявлении представлен один из вариантов дизайнерской перепланировки. Одна комната из трех изолированная, есть кладовая.
*С/узел раздельный
*Мебель остается по договоренности
Дом и двор
*4-х этажный дом. В доме 3 подъезда.
*Фундамент— ленточный, перекрытия — смешанные. Несущие стены также ..., 17 фото</t>
  </si>
  <si>
    <t>https://www.cian.ru/sale/flat/334174258</t>
  </si>
  <si>
    <t>Лот f39816 К продаже предлагается квартира с тремя спальнями общей площадью 171 м², расположенная на 2 этаже в доме "Большой Козихинский, 12" в Пресненском районе.
•   Выполнена дизайнерская отделка в светлых тонах с использованием дорогостоящих материалов. Интерьеры украшают декоративные молдинги и венчающие карнизы. Установлена индивидуальная система кондиционирования. Итальянская кухня оборудована немецкой встроенной бытовой техникой, квартира полностью меблирована, готова к проживанию.
Планировочные решения:
•   Площадь: 171 м²
•   Гостиная
•   Кухня
•   Мастер-спальня со своим санузлом и гардеробной
•   Две спальни
•   Два санузла
•   Прихожая с гардеробной
•   Много мест для хранения вещей
•   Благодаря 13 окнам, ориентированным на три стороны света, пространство наполнено естественным светом
Дополнительно:
•   Возможность приобретения удобного парковочного места
•   На этаже всего две квартиры — дополнительная приватность
Инфраструктура ЖК
ЖК создан для тех, кто ценит комф ..., 22 фото</t>
  </si>
  <si>
    <t>https://www.cian.ru/sale/flat/329097744</t>
  </si>
  <si>
    <t>Код объекта: 1628316.
Ваша Мечта - Тверской район Москвы! Французский балкон! Благоустроенный район в самом Сердце Столицы!
Описание дома: Этот Дом был построен в 1902 году по индивидуальному проекту. Дореволюционный дом со сложной красивой архитектурой и богатой историей. В доме 5 по Благовещенскому переулку в советское время жили известные представители творческой элиты (Народный артист Аркадий Райкин , Расул Гамзатов — народный поэт Дагестана, писатель-публицист,  и многие другие).
Описание квартиры:
4-х комнатная квартира площадью 114 кв.м на четвёртом этаже восьмиэтажного дома. Высокие потолки 3,3 м., отличная шумо-теплоизоляция. Квартира-распашонка с балконом.
Окна выходят на две стороны: на живописный Благовещенский переулок и во двор, НЕ НА Тверскую!
Ремонт выполнен с учётом максимальной функциональности и комфорта. Изолированные комнаты, два раздельных санузла и просторная кухня 11 кв. м создают идеальные условия для жизни. Высокие потолки и большие окна, выходящие на улицу ..., 34 фото</t>
  </si>
  <si>
    <t>https://www.cian.ru/sale/flat/328052141</t>
  </si>
  <si>
    <t>Восхитительные Патриаршие пруды и Малая Бронная! 
   Красивый фасадный дом, железобетонные перекрытия, парадный подъезд, лифт, парковка в закрытом дворе! Согласованная перепланировка. 
   Очаровательная трехкомнатная квартира с высокими потолками, идеальной( и узаконенной) планировкой, с невероятными видами из окон, с элегантным, новым ремонтом, включающим полное оснащение мебелью и техникой. 
 Планировкой предусмотрено просторное пространство гостиной(53 м) с зоной приготовления, обеденной и отдыха, окна которой обращены на Малую Бронную, из которых открывается панорама на Храм "Большое Вознесение", на МИД и Сити. В части квартиры, которая обращена окнами в тихий двор, расположились 2 спальни с гардеробными зонами и 2 полные ванные комнаты. В квартире всегда тихо даже при всех открытых окнах! Доп.электромощность - 20 кВт. 
В квартире есть технический блок - постирочная с оборудованием Asco.
Свободная продажа., 26 фото</t>
  </si>
  <si>
    <t>https://www.cian.ru/sale/flat/333736627</t>
  </si>
  <si>
    <t>!!!! ПО ЦЕНЕ WHAIT BOX !!!!! Коллекционная квартира Респектабельный клубный дом De Luxe-класса "ГРАНАТНЫЙ, 6" расположен в самом тихом статусном посольском квартале ЦАО, окруженный историческими особняками, недалеко от Патриарших прудов. 
Предлагаем вашему вниманию элегантную четырехкомнатную квартиру с изысканной отделкой в стиле утонченной Английской классики. Прекрасный вид!) В квартире 12 окон в пол!
Просторная и комфортная планировка: 
- Гостиная  51,6кв/м
- Кухня-столовая - 30,6 кв/м
- Три спальни  32,2кв/м + 17,7кв/м + 15,7кв/м
- Холл  12кв/м
- 5 гардеробных
- Три санузла
- Сейфовая комната
- Постирочная  5,6кв/м
 - Потолки 3.30
ВЫСОКИЙ второй этаж; окна выходят в живописный усадебный парк особняка Морозовой и в тихий благоустроенный двор. Дом расположен в глубине большой территории двора. При открытых окнах абсолютная тишина и пение птиц, прекрасные виды  - это редкая привилегия для самого центра Москвы. 
Изящная мебель, авторская отделка редкими породами дерева, мрамора, оник ..., 33 фото</t>
  </si>
  <si>
    <t>https://www.cian.ru/sale/flat/324878193</t>
  </si>
  <si>
    <t>https://www.cian.ru/sale/flat/332880340</t>
  </si>
  <si>
    <t>ID объявления: 574468 Эксклюзивное предложение в самом сердце Москвы! 
Ключевая идея: Уникальная двухуровневая резиденция для тех, кто ценит уединение, исторический дух и статусное расположение в самом центре Москвы. 
Общая концепция: Двухуровневая планировка, разделяющая частную и гостевую зоны. 
ПЕРВЫЙ УРОВЕНЬ (гостевой и рабочий): Просторная гостиная-кухня — идеальное пространство для встреч с близкими. Камин (который можно установить) — создаёт атмосферу уюта и является сердцем гостиной. Возможно обустроить отдельный кабинет — для работы и творчества, обеспечивающий полную концентрацию. 
ВЕРХНИЙ УРОВЕНЬ (приватный): 2 изолированные спальни — уединённые покои для отдыха. 
УДОБСТВА: 2 санузла — обеспечивают комфорт и независимость обитателей обоих уровней. 
РАСПОЛОЖЕНИЕ: Объект находится в одном из самых овеянных легендами переулков старой Москвы. Тишина и история: в двух шагах от Патриарших прудов — место для прогулок и уединения. Власть и статус: Близость к Тверской и Кремлю. ..., 27 фото</t>
  </si>
  <si>
    <t>https://www.cian.ru/sale/flat/330445034</t>
  </si>
  <si>
    <t>Москва, Трехпрудный переулок, 6</t>
  </si>
  <si>
    <t>Продается уютная, ухоженная квартира после косметического ремонта. Две изолированные   комнаты, высокие потолки, из кухни вход в небольшую светлую террасу. Дом построен в 1925 году, с ж/б перекрытиями, расположен в самом центре Москвы, рядом с Патриаршими прудами. В прекрасном тихом, спокойном дворике в самом центре столицы! Дом находится в глубине улицы, он прекрасно огорожен и охраняется, видеонаблюдение по всему периметру. Дом в историческом центре столицы. Потрясающая транспортная доступность как на общественном транспорте, так и на автомобиле, в 2-х минутах станции метро "Пушкинская", "Тверская", "Чеховская", Тверская улица. Развитая инфраструктура центра Москвы: лучшие кафе, рестораны, школы, детские сады, магазины. Здание, известное своей эклектичной архитектурой, прошло капитальный ремонт фасадов, завершившийся в 2024 году, в ходе которого были восстановлены исторические элементы: карнизы, пилястры и рустованные порталы. Один взрослый собственник, полная сумма в договоре, выпис ..., 40 фото</t>
  </si>
  <si>
    <t>https://www.cian.ru/sale/flat/329878263</t>
  </si>
  <si>
    <t>Продаётся 2-х комнатная квартира в ЦАО, знаменитые Патриаршие пруды, Богословский переулок, д. 7,  2/6 кирпичного дома с железобетонными перекрытиями 1977 года постройки. Квартира в хорошем жилом состоянии, комнаты изолированные, большая лоджия, санузел раздельный, перепланировок нет, много дополнительных мест для хранения вещей, окна выходят в тихий Московский дворик.  В собственности одной семьи с постройки дома. Один взрослый собственник, собственность более 10 лет, ограничений и обременения нет., 21 фото</t>
  </si>
  <si>
    <t>https://www.cian.ru/sale/flat/333460745</t>
  </si>
  <si>
    <t>Москва, Большой Палашевский переулок, 1С2</t>
  </si>
  <si>
    <t>Продается уникальная двухуровневая квартира Пентхаус , в жилом доме в самом центре Патриарших Прудов, в тихом переулке , въезд во двор под шлагбаум, за домом расположен небольшой парк. Дом по адресу Москва, Большой Палашевский переулок, 1С2 построен в 2005 году. Это пятиэтажный монолитный дом серии II-01. Квартира общей площадью 110м2, на первом уровне расположена: прихожая, кухня-гостиная, зона кабинета, отдельная спальня с гардеробом, санузел, на втором этаже спальня с гардеробной, и санузел с ванной. В квартире имеется система кондиционирования, подогрев пола, на кухне встроенная техника Miele и Liebherr. Имеется удобное машино место в подземном паркинге. Один взрослый собственник более 20 лет в собственности, без обременений., 42 фото</t>
  </si>
  <si>
    <t>https://www.cian.ru/sale/flat/331746600</t>
  </si>
  <si>
    <t>Премиальный жилой комплекс Бакст. Торг возможен. Дом сдан в 2020 году, современный, красивый с роскошными холлами. Продается отличная квартира без отделки, окна на две стороны, главная спальня выходит во двор. По планировке: возможные варианты кухня-гостиная и три спальни, два санузла, гардеробная, либо отдельная кухня, гостиная, две спальни, два санузла и две гардеробные. В квартире имеется вывод по действующий камин. В наличии несколько машино мест в подземном паркинге , в стоимость не входят. В доме круглосуточно консьерж, охрана. Небольшой двор без машин, уютная территория для отдыха в теплое время года. В собственности более 5ти лет, один взрослый собственник, свободная продажа. Спешите купить лучшую квартиру на Патриарших прудах! Торг реальному покупателю. В собственности более 5ти лет, один взрослый собственник, без обременений., 16 фото</t>
  </si>
  <si>
    <t>https://www.cian.ru/sale/flat/327741094</t>
  </si>
  <si>
    <t>Предлагается в продажу квартира, в историческом фасадном доме. Свободная продажа, 2 взрослых собственника, ДКП более 15 лет. Планировка: СТУДИЯ, 3 спальни, 2 совмещённых санузла. Окна выходят во двор, чистый подъезд, балкона НЕТ.  Оперативный показ. Звонить можно с 9.00 до 24.00 ежедневно. Мы гарантируем нашим покупателям бесплатное юридическое сопровождение и чистоту сделки. Огромная просьба, если возникают вопросы по объявлению, пожалуйста звоните,  а не пишите сообщения!, 22 фото</t>
  </si>
  <si>
    <t>https://www.cian.ru/sale/flat/333734839</t>
  </si>
  <si>
    <t>Москва, Ермолаевский переулок, 4</t>
  </si>
  <si>
    <t>Квартира на Патриарших прудах в доме известного архитектора А.Н. Кардо-Сысоева. Правильная форма, высокие потолки и большое количество окон позволяют воплотить любой дизайн-проект. Кухня-гостиная, 3 спальни (одна из них мастер), два санузла, постирочная, действующий черный ход. 
Окна на две стороны. Закрытый двор, ухоженный подъезд с охраной, респектабельные соседи. 
Одна минута пешей доступности до пруда. Рядом кафе-рестораны, магазины на любой вкус, четыре станции метро, зоопарк, музеи, театры, галереи, Тверской бульвар, Никитские ворота., 32 фото</t>
  </si>
  <si>
    <t>https://www.cian.ru/sale/flat/330176776</t>
  </si>
  <si>
    <t>ID: 2756. В лучшем камерном доме столицы предлагается к продаже уникальный пентхаус с панорамным видом на весь центр Москвы. Свободная планировка позволяет воплотить в жизнь все Ваши архитектурные фантазии. Балконы, террасы, выход на эксплуатируемую кровлю.  Есть возможность установки каминов. Высота потолков 4 м.
Пентхаус можно разделить на 2 полноценные квартиры. Предусмотрены 2 парадных и два черных входа, отдельные лифты.
В стоимость включены 4 машино-места в подземном паркинге.
Клубный дом VIP-уровня на 17 квартир. Фасад здания выполнен в стиле Ар-Деко. Высочайшее качество строительства   с использованием дорогих отделочных материалов. В отделке нежилых помещений использованы ценные породы дерева, полудрагоценный камень.
Для владельцев квартир в доме функционируют: бассейн, сауна, хамам, тренажерный зал, массажный кабинет, косметический салон, сигарная комната с бильярдом и баром, кладовые, служба ресепшн.  Многоуровневая система безопасности, подземный паркинг. Ландшафтный диза ..., 7 фото</t>
  </si>
  <si>
    <t>https://www.cian.ru/sale/flat/197214440</t>
  </si>
  <si>
    <t>Квартира  на Патриках, первая линия от пруда.
На Патриках с такими параметрами помещений/квартир  дешевле нет!
+ первая линия от пруда , 70 м
+ тихая часть Патриков  
+ 9 окон, в 3-х направлениях
+ высота потолков 3.4 м, (3.1-3.2 м. в текущей отделке)
+ любые дизайнерский решения  / переносы мокрых точек, кухня-гостиная, дополнительные санузлы (первый этаж нежилой, межкомнатные перегородки некапитальные)
+ паркинг во дворе под шлагбаумом
Текущий статус нежилое помещение, переводится в жилой фонд, ранее была квартира
Апартаменты / квартира / офис / шоу-рум, объект подходит под все задачи.
УСЛОВИЯ:
+ в ипотеке Сбербанка 
+ продавец физлицо
+ все мокрые точки согласованы
+ быстрый выход на сделку
Свяжитесь с нами для дополнительной информации !, 23 фото</t>
  </si>
  <si>
    <t>https://www.cian.ru/sale/flat/331770555</t>
  </si>
  <si>
    <t>Квартира с хорошим, классическим ремонтом, рядом с Патриаршими прудами. Планировка: просторная кухня-гостиная, три спальни, четыре гардеробные комнаты, один большой санузел с окном. Второй этаж, половина окон во двор, половина в переулок. Качественный ремонт, швейцарская бытовая техника ZUG, мебель, кухня и межкомнатные двери из массива дерева, на полу паркетная доска. Один взрослый собственник, более трёх лет. Покупали по договору купли-продажи., 41 фото</t>
  </si>
  <si>
    <t>https://www.cian.ru/sale/flat/329229301</t>
  </si>
  <si>
    <t>СВОБОДНАЯ ПРОДАЖА.
ПОЛНАЯ СТОИМОСТЬ В ДОГОВОРЕ!!! 
Вашему вниманию предлагается просторная трехкомнатная квартира в одной из наиболее востребованных локаций Москвы — в пешей доступности от Патриарших прудов.
В 2022 году проведена полная реконструкция квартиры - капитальный ремонт с заменой всех коммуникаций. Выполнены стяжка пола с нуля и возведение новых перегородок. Чистовая отделка выполнена с использованием паркетной доски в жилых зонах и керамической плитки в кухне, прихожей и ванной комнате. Для комфорта предусмотрены системы теплый пол в прихожей и ванной комнате, а также кондиционирование в изолированных помещениях.
Функциональная планировка
Спальня с кроватью 180*200, диваном и удобной гардеробной.
Детская комната, которую можно переделать в кабинет, так как фасады мебели при желании меняются.
Гостиная с зоной для просмотра фильмов и барной стойкой из массива и барными стульями.
Отдельная рабочая зона у окна с большим столом.
Кухня 12 м², со всей необходимой техникой.
Совмещ ..., 24 фото</t>
  </si>
  <si>
    <t>https://www.cian.ru/sale/flat/334674625</t>
  </si>
  <si>
    <t>Продается красивая трехкомнатная квартира с качественным ремонтом и мебелью, полностью оборудованная бытовой техникой в доме с богатой историей, в районе Патриарших прудов ЦАО Москвы. Метро Пушкинская, Тверская, Чеховская в шаговой доступности, в 5 минутах пешком. В ближайшем доступе есть все необходимое как для молодых пар, так и для семей с детьми: школы, детские сады, ВУЗы, поликлиники, театры, торговые центры. 
Большая Бронная, 2/6 - шестнадцатиэтажная башня, построенная в конце шестидесятых по специальному проекту. В Москве ее прозвали золотым перекрестком: в доме было только шестьдесят квартир, и в каждой жили известные люди, мастера культуры. Две квартиры на последнем, шестнадцатом этаже занимали пианист Святослав Рихтер и оперная дива Нина Дорлиак.
Дом расположен на углу улиц Большая Бронная и Малая Бронная, в 500 метрах от Патриарших прудов, в центре ресторанной и культурной жизни столицы и не даст заскучать новому собственнику этой квартиры. Высокий тихий этаж, окна на 2 стор ..., 9 фото</t>
  </si>
  <si>
    <t>https://www.cian.ru/sale/flat/326247329</t>
  </si>
  <si>
    <t>Вашему вниманию предлагается уникальная квартира в жилом комплексе класса Deluxe Малая Бронная, 15.
Дом расположен в престижной локации у Патриарших прудов — в сердце культурной и светской Москвы. 
В здании всего 23 квартиры; фасад из натурального камня украшен античными деталями, лобби отделано итальянским мрамором, а акцент пространства — 28метровый стеклянный витраж.
Квартира на втором этаже оформлена в неоклассическом стиле: две мастер-спальни с ванными, гардеробная, просторная кухня-гостиная, высокие потолки и панорамные окна с французскими балконами. В отделке используется натуральное дерево, итальянский мрамор Calacatta, гипсовые карнизы, итальянская сантехника.
Квартира абсолютно новая (вы будете первыми жильцами), полностью укомплектована немецкой кухней Sie Matic, мебелью итальянских брендов и готова к проживанию.
В квартире — полный комплекс инженерных решений: умный дом (управление светом, шторами, климатом, тёплыми полами), система фильтрации и резервного водоснабжени ..., 48 фото</t>
  </si>
  <si>
    <t>https://www.cian.ru/sale/flat/334596821</t>
  </si>
  <si>
    <t>Москва, Малая Бронная улица, 21/13С1</t>
  </si>
  <si>
    <t>Предлагается к продаже трехкомнатная квартира. В квартире выполнен современный дизайнерский ремонт. Функциональная планировка:  кухня-гостиная, спальня, кабинет. Кухня укомплектована всей техникой, посудомоечная машина, духовой шкаф, холодильник. Кабинет может использоваться как спальня. Большой полноценный санузел с душевой кабиной, постирочная комната (стиральная машина с сушкой),  гардеробная комната, гостевой санузел. Прекрасный вид из окон. Подогрев полов. Подъезд чистый, отремонтированный. Свободная продажа. Полная стоимость в договоре. ДКП 2017 год. Никто не зарегистрирован., 13 фото</t>
  </si>
  <si>
    <t>https://www.cian.ru/sale/flat/303296227</t>
  </si>
  <si>
    <t>Москва, улица Спиридоновка, 21</t>
  </si>
  <si>
    <t>Стильная просторная квартира в доме с железобетонными перекрытиями. БЕЛЬЭТАЖ.
Благоустроенная огороженная (закрытая) охраняемая территория с детской площадкой и  наземной парковкой.
В квартире выполнен современный европейский ремонт по дизайн-проекту с применением высококачественных, дорогих, экологически чистых материалов, бытовая и сан.техника от ведущих мировых производителей. Система кондиционирования воздуха (сплит-система).
Высокий 1-й этаж. Кухня-гостиная и 2 изолированные комнаты. 2 гардеробные. Встроенные шкафы. Один большой совмещенный санузел (ванна, душевая кабина, постирочная). Потолок 4м. Полностью готова к проживанию.
Чистый ухоженный парадный подъезд, лифты пассажирский и грузовой. Консьерж. Окна в сад., 48 фото</t>
  </si>
  <si>
    <t>https://www.cian.ru/sale/flat/169514704</t>
  </si>
  <si>
    <t>ПРЯМОЙ ПРЕДСТАВИТЕЛЬ СОБСТВЕННИКА! БОНУС БРОКЕРУ!
В продажу предлагается просторная двухкомнатная квартира со смежно-изолированной планировкой, расположенная в самом сердце столицы — в пешей доступности от станций метро Пушкинская, Тверская и Чеховская. Рядом также проходят маршруты наземного транспорта, что делает передвижение по центру города максимально удобным и быстрым. Квартира уже полностью готова к проживанию: она укомплектована всей необходимой мебелью и бытовой техникой, включая холодильник, стиральную машину, кондиционер и телевизор.
Планировка продумана для комфортного семейного проживания или совместного использования: две комнаты смежно-изолированы, что обеспечивает баланс между личным пространством и общими зонами. Единственная лоджия, окна выходят во двор, гарантируя тишину и уют.
Инфраструктура района включает всё необходимое для повседневной жизни: магазины, кафе, аптеки и сервисы в шаговой доступности. Для автомобилистов предусмотрена стихийная парковка во дворе.  ..., 11 фото</t>
  </si>
  <si>
    <t>https://www.cian.ru/sale/flat/331769970</t>
  </si>
  <si>
    <t>ID 304 Роскошная трехэтажная квартира площадью 188,5 м2 расположена в историческом доме по адресу: Большой Козихинский переулок, дом 27, строение 1.
На первом уровне предусмотрена гостиная с камином, кухня с постирочной, гостевой санузел и гардеробная.
На втором уровне: гостиная/кабинет, спальня с ванной комнатой и гардеробной.
На третьем уровне спланирован мастер-сьют площадью 53,8 м2 с камином, ванной комнатой и гардеробной.
Выполнен авторский ремонт в стиле Ralph Lauren. Ванные комнаты отделаны керамической плиткой в английском стиле и укомплектованы сантехникой от Imperial и Heritage. На светлой кухне установлена бытовая техника De Dietrich. В постирочной техника ASKO. Установлены кондиционирование Daikin и котел AEG.
Из окон открываются панорамные виды на Храм Христа Спасителя и район Патриаршие пруды.
Есть возможность приобрести машиноместо в соседнем здании.
Доходный дом Н. А. Серебрякова расположен в тихой части Патриарших прудов. После полной реконструкции все перекрыт ..., 16 фото</t>
  </si>
  <si>
    <t>https://www.cian.ru/sale/flat/332279527</t>
  </si>
  <si>
    <t>Просторная квартира в легендарном Доме с Аптекой на Патриарших прудах! 
Отделка и интерьер выдержаны в современном классическом стиле. В квартире установлена техника, мебель и предметы декора. 
Планировкой предусмотрено: кухня-гостиная,   1 спальня, ванная и гостевой санузел. 
Парковка организована во внутреннем дворе дома. 
Дом с Аптекой  это не просто адрес, это символ статуса и истории. Построенный в 1913 году, этот шестиэтажный шедевр неоклассической архитектуры украшен керамической плиткой, изысканной лепниной и барельефами, которые переносят вас в эпоху роскоши и изящества.  Малая Бронная - уютная улочка района, где были сняты эпизоды для многих фильмов.  
Патриаршие пруды  это место, где встречаются история и современность. Здесь есть самые модные рестораны и бутики, престижные салоны красоты и клубы, уютные улочки, знакомые по кадрам любимых фильмов.  
Наша компания состоит в ассоциации агентств элитной недвижимости AREA, 12 фото</t>
  </si>
  <si>
    <t>https://www.cian.ru/sale/flat/333224495</t>
  </si>
  <si>
    <t>Продаётся верхний этаж (квартира 17) 8-этажного элитного ЖК "Гранатный Палас". 
Площадь - 901 кв метр. 
Свободная планировка, отделки нет. 
На этаж приходят 3 лифта из 4-х, имеющихся в доме. 
Есть отдельный выход на общую террасу на крыше. 
Вместе с этажом продаются 4 машиноместа и кладовка (10 кв метров) в подземном паркинге.                    
Гранатный Палас - клубный дом премиум-класса, расположенный в районе Патриарших Прудов. Тихое место в центре Москвы, благоустройство, охрана, закрытая территория, элитное соседство. 
Просмотр - в удобное для вас время по предварительному звонку., 28 фото</t>
  </si>
  <si>
    <t>https://www.cian.ru/sale/flat/334499822</t>
  </si>
  <si>
    <t>Арт. 145750447 Тихая квартира в камерном историческом доме
Продаётся уютная квартира площадью 60 м² в двух минутах ходьбы от Патриарших прудов.
Главная особенность — отсутствие несущих стен и возможность менять планировку на свой вкус.
Арочные окна и сохраненная оригинальная лепнина станут прекрасным украшением будущего интерьера
Третью комнату можно сделать детской или устроить там уютный кабинет, а можно объединить её и получить просторную гостиную, решать только Вам
Квартира располагается на втором этаже четырёхэтажного кирпичного дома 1906 года постройки. В 2011 году в доме был проведён капитальный ремонт.
Высота потолков — 3,12 м.
 Жилая площадь — 39 м², кухня — 7,5 м².
Окна двух комнат выходят на улицу (север), окно кухни — во двор (юг).
При этом в квартире действительно тихо — несмотря на то, что до Патриарших прудов и всей жизни района всего несколько минут пешком.
Квартира продаётся в предчистовой отделке. 
Все основные черновые и грязные работы уже выполнены. 
Остаётся с ..., 10 фото</t>
  </si>
  <si>
    <t>https://www.cian.ru/sale/flat/334540155</t>
  </si>
  <si>
    <t>Уникальный пентхаус в знаковом ЖК "Гранатный Palace". 
Занимает весь восьмой этаж, с террас и балконов открываются панорамные виды на столицу, имеет несколько входов и лифтов, исключая пересечение владельцев и персонала. 
Пентхаус продается без отделки и представляет собой свободное пространство площадью более 900 кв.м., что позволит новому владельцу реализовать отделку и планировку пространства исключительно на свой вкус. 
Инженерия пентхауса обеспечена приточно-вытяжной вентиляцией с очисткой воздуха, предусматривает установку дровяных каминов. 
Статусный ЖК "Гранатный Palace" расположен в тихом зеленом Гранатном переулке, в шаговой доступности от Патриарших прудов, лучших школ Москвы, имеет собственный приватный сад, подземный паркинг, закрытую охраняемую территорию и всего 17 квартир. Исключительные соседи и приватность гарантированы. Для своих резидентов в ЖК созданы SPA-комплекс, фитнес-центр с бассейном и хамамом, кабинеты для массажа и персональных стилистов, бильярдный зал и ..., 33 фото</t>
  </si>
  <si>
    <t>https://www.cian.ru/sale/flat/326140851</t>
  </si>
  <si>
    <t>ID 6137.
Светлая, уютная квартира в современном стиле.   
Планировка: 
2 спальни с санузлами и гардеробными, 
кабинет, 
просторная гостиная, 
кухня-столовая, 
3 балкона.
Предусмотрены машиноместа. 
Дом с подземным паркингом в знаковом месте Москвы. Классический посольский квартал, статусный, насыщенный архитектурой разного рода  от знаменитых шедевров, таких как особняк Рябушинского Федора Шехтеля или дом Тарасова, до "рядовых" доходных домов столетней и более давности.
В пешей доступности от дома расположены школы и детские сады, прогулочная зона у прудов, сквер Булгакова и Сад Эрмитаж, музеи, театры.
FS Property - участник ассоциации агентств элитной недвижимости AREA., 19 фото</t>
  </si>
  <si>
    <t>https://www.cian.ru/sale/flat/313191706</t>
  </si>
  <si>
    <t>Роскошная квартира в клубном доме БАКСТ — одном из самых выразительных и приватных проектов Патриарших прудов.
Квартира предлагается без отделки, со свободной планировкой — редкая возможность создать индивидуальное пространство, полностью соответствующее образу жизни будущего владельца. Продуманная геометрия и большие окна позволяют реализовать элегантный современный интерьер с просторной гостиной и приватной зоной спален.
Есть возможность объединения с соседними квартирами и создания по-настоящему уникальной городской резиденции.
По отдельной стоимости предлагаются машиноместа.
БАКСТ — камерный клубный дом всего на 18 квартир, расположенный в нескольких шагах от Патриарших прудов. Архитектура в стиле русского модерна дополнена художественными панно по мотивам знаменитых работ Льва Бакста, благодаря чему дом обладает совершенно особенным характером и легко узнаваемым обликом.
Инженерное оснащение соответствует уровню современной премиальной резиденции: система умный дом, приточно-вытяж ..., 12 фото</t>
  </si>
  <si>
    <t>https://www.cian.ru/sale/flat/332910251</t>
  </si>
  <si>
    <t>О ДОМЕ: кирпичный дом , построенный для сотрудников ЦК в престижном районе на Патриарших прудах.
О КВАРТИРЕ: шикарная трехкомнатная квартира с отличным ремонтом и роскошной дизайнерской отделкой с использованием дорогих материалов ( ценные породы дерева и камня). полностью укомплектована мебелью лучших итальянских производителей и оснащена бытовой техникой Miele и Gaggenau, множество сценариев освещения. За счет высоких потолков и большого количества окон в помещении много воздуха и света, что создает атмосферу простора и уюта.
Функциональная планировка:
- просторная прихожая
- постирочная комната
- гостевой санузел
- спальня/кабинет со своим санузлом
- гостиная с камином и открытым балконом
- кухня
- мастер-спальня с санузлом
- вместительная гардеробная комната с окном
Окна ориентированы на 3 стороны.
В презентабельном подъезде дежурит консьерж, в огороженном дворе детская площадка, ландшафтный дизайн, зоны для прогулок и отдыха. Есть гараж на один автомобиль.
ИНФРАСТРУКТУРА: удобное  ..., 43 фото</t>
  </si>
  <si>
    <t>https://www.cian.ru/sale/flat/332470531</t>
  </si>
  <si>
    <t>https://www.cian.ru/sale/flat/333224352</t>
  </si>
  <si>
    <t>ПРЯМОЙ ПРЕДСТАВИТЕЛЬСОБСТВЕННИКА! БОНУС БРОКЕРАМ!
Предлагается в аренлу отличная двухуровневая 6-ти комнатная квартира в историческом центре Москвы по адресу: Малая Бронная улица 20с2, ЦАО, р-н Пресненский.
Функциональная планировка квартиры: 
1 уровень: кухня, столовая, 2 изолированные спальни, кабинет, 1 совмещенный с/у
2 уровень: гостиная, спальня, 1 совмещенный с/у, 1 гостевой с/у, сауна.
Квартира полностью меблирована и оснащена всей необходимой техникой для комфортного проживания. Отличный ремонт. Высокие потолки. Установлены система кондиционирования и теплые полы. Презентабельный подъезд.
Развитая инфраструктура района: рестораны, продуктовые магазины, массажный салон, Ароматный Мир, антикварный салон, салоны красоты, аптеки, ателье, бутики, скверы и парковые зоны. Удобная транспортная доступность, быстрый выезд на Садовое кольцо и в сторону Арбата. Ст. м. Тверская, Пушкинская, Маяковская, Чеховская в пешей доступности. Более 5 лет в собственности. Все документы готовы к сделке ..., 20 фото</t>
  </si>
  <si>
    <t>https://www.cian.ru/sale/flat/314345937</t>
  </si>
  <si>
    <t>Предлагается 4-комнатная квартира под отделку в клубном доме deluxe-класса ЖК "Гранатный, 6" в районе Патриарших прудов.
Функциональное планировочное решение: большая кухня-столовая-гостиная, мастер-спальня с гардеробной и ванной комнатой, спальня с собственной ванной и гардеробной комнатами, кабинет/гостевая спальня с собственным с/у, постирочная, прихожая.
Дом оснащен передовой интеллектуальной системой "Умный дом", которая незаметно и надежно заботится о вашем благополучии: климат-контроль, чистейшая трехуровневая вода, регулируемая вентиляция и многоуровневая безопасность.
Клубный особняк Гранатный 6 расположен в самом сердце Пресни, в пешей доступности от Патриарших прудов, Тверского бульвара и Красной площади. Архитектура дома, созданная Сергеем Чобаном, сочетает современную эстетику с благородной классикой и изысканной каменной отделкой фасадов.
Внутренний двор — закрытый, утопающий в зелени, с атмосферой загородного сада в центре Москвы. Для жителей предусмотрены: детская к ..., 16 фото</t>
  </si>
  <si>
    <t>https://www.cian.ru/sale/flat/332028963</t>
  </si>
  <si>
    <t>Москва, Малая Бронная улица, 10С1</t>
  </si>
  <si>
    <t>Продажа 3-х комнатной дизайнерской квартиры на Патриарших.
Площадь 100 м2.
Планировка: кухня-гостиная, 2 спальни с ванной и гардеробной комнатами.
Выполнена авторская отделка в стиле английской классики.
Натуральный мозаичный паркет, английские отделочные материалы, текстиль и фурнитура, стол из бразильского сланца.
Встроенная кухня и мебель из массива дерева выполнены по индивидуальному заказу, антикварная мебель, бытовая техника Smeg, Ilve.
Дом 1900 гг. в стиле модерн архитектора Василия Мясникова построен для московского мецената и предпринимателя В.И. Якунчикова.
Ж/б перекрытия. 
В 2012-2014 в доме был проведён капитальный ремонт с заменой инженерных систем отопления, электричества и водоснабжения, а также проведены кровельные работы, ремонт подвальных помещений и черного хода. 
Закрытый внутренний двор, въезд через шлагбаум.
Парковка на территории., 8 фото</t>
  </si>
  <si>
    <t>https://www.cian.ru/sale/flat/329101887</t>
  </si>
  <si>
    <t>Москва, Богословский переулок, 12А</t>
  </si>
  <si>
    <t>Элитная квартира в историческом сердце Москвы
Богословский пер., 12А (ЖК Сытинский)
В тихом престижном Пресненском районе, в легендарном жилом комплексе класса делюкс, открывается уникальная возможность создать интерьер своей мечты.
Пространство и возможности:
- Площадь: 170 м² (4 этаж).
- Потолки: 3,30 м — воздух и свет.
- Состояние: активная стадия ремонта (готовность под ваши индивидуальные решения).
Локация Золотого треугольника:
Богословский переулок - это сердце Патриарших прудов. В минутах ходьбы: рестораны Caf Pouchkine и Serebro от Аркадия Новикова с видом на Патриаршие.И многое другие.
Транспорт и паркинг:
Метро Пушкинская, Чеховская, Тверская 710 минут спокойным шагом. Для автовладельцев закрытый подземный паркинг. Быстрый выезд на Тверской бульвар и Садовое кольцо., 5 фото</t>
  </si>
  <si>
    <t>https://www.cian.ru/sale/flat/330992211</t>
  </si>
  <si>
    <t>Москва, Трехпрудный переулок, 9</t>
  </si>
  <si>
    <t>ID 837668 Патриаршие пруды. Роскошный таунхаус площадью 359,6 м2 с финишной отделкой класса люкс в уникальном клубном проекте Левенсон. Предусмотрено 4-5 спален с ванными комнатами и гардеробными.  
На первом этаже спланированы: парадная прихожая с большой гардеробной и санузлом, кабинет-библиотека, гостевая спальня с ванной комнатой и гардеробной. Для персонала выделен блок с технической кухней, постирочной и отдельным входом.  
На втором этаже: гостиная, кухня-столовая, мастер-спальня с ванной комнатой и гардеробной, две дополнительные спальни с общей ванной комнатой.  
Между этажами - подъемник для посуды и продуктов.  
Отдельный вход с внутренней территории, высокие потолки и панорамные окна. 
Интерьер таунхауса — это изысканное сочетание фактур, форм и благородных материалов, в которых сохранят исторические элементы: своды Монье, чугунные колонны и французскую кладку.  
Централизованная система кондиционирования и приточно-вытяжная вентиляция с возможностью настроить индивид ..., 13 фото</t>
  </si>
  <si>
    <t>https://www.cian.ru/sale/flat/328082167</t>
  </si>
  <si>
    <t>ID 496659 Очень красивая и модная квартира площадью 151,1 м2 расположена в элитном клубном доме Булгаков в самом сердце Патриарших прудов.
Функциональной планировкой предусмотрена гостиная, объединенная с кухней-столовой, каминная, мастер-спальня с ванной комнатной и гардеробной, детская спальня с ванной комнатой, гостевой санузел и постирочная. Из гостиной и хозяйской спальни предусмотрены выходы на балкон. 
Коллекционный дизайн, мебель, декор, предметы искусства. Техника Miele и других премиальных брендов. Из окон открываются виды в зеленый благоустроенный двор. 
К квартире предусмотрены два машиноместа в подземном паркинге. 
Участник Ассоциации АРЕА., 15 фото</t>
  </si>
  <si>
    <t>https://www.cian.ru/sale/flat/328021618</t>
  </si>
  <si>
    <t>ID 764935 Патриаршие пруды. Апартамент площадью 164,4 м² с патио в уникальном клубном проекте Левенсон. 
Функциональной планировкой предусмотрена гостиная, кухня-столовая, 2 спальни с ванными комнатами и гардеробными, гостевой санузел, гардеробная, постирочная.  
Будет выполнена финишная отделка класса люкс с использованием натуральных материалов. В резиденции полностью оборудуют кухни и мраморные ванные комнаты. Интерьер апартамента — это изысканное сочетание фактур, форм и благородных материалов, в которых сохранят исторические элементы: своды Монье, чугунные колонны и французскую кладку. 
Из окон открываются виды на благоустроенную территорию и особняк Левенсона. 
Высокие потолки и панорамные окна наполнят комнаты светом и воздухом. 
Централизованная система кондиционирования и приточно-вытяжная вентиляция с возможностью настроить индивидуальный климат в каждой комнате.
Есть возможность приобрести машиноместо. 
Левенсон - уникальная комбинация из легендарных исторических здани ..., 9 фото</t>
  </si>
  <si>
    <t>https://www.cian.ru/sale/flat/327992372</t>
  </si>
  <si>
    <t>Москва, Богословский переулок, 16/6С1</t>
  </si>
  <si>
    <t>Продаётся просторная двухкомнатная квартира на патриарших прудах.
Квартира продается без мебели и техники.
Дом:
- В подъезде 12 квартир. 
- Стены железобетонные, чем сильно отличаются по качеству от соседних домов в ЦАО.
- 
Квартира:
- Потолки 3 метра.
- Очень просторный коридор
- Отдельная гардеробная
- Отдельная кладовая (внутри квартиры)
Полностью развитая инфраструктура района от государственных учреждений до всевозможных элитных время препровождений. А также в пешей доступности зеленые скверы и небольшие парки с памятниками.
Квартира готова к продаже.
Один собственник.
Альтернативная сделка.
Оперативный показ., 19 фото</t>
  </si>
  <si>
    <t>https://www.cian.ru/sale/flat/333119807</t>
  </si>
  <si>
    <t>Эксклюзивное предложение.
Шикарная квартира в ЖК Бакст, лучшем доме на Патриарших!
Новый дом класса DELUXE 2020 года постройки. 
Квартира без отделки, свободной планировки. Предполагаемая планировка: гостиная 45 м2 с дровяным камином, с шикарным видом на сквер Булгакова, мастер-спальня 23,5 м2 со своей гардеробной и санузлом, детская 13,5 м2 со своим сан.узлом, просторная лоджия, гардеробная, постирочная.
В доме есть все современные коммуникации: приточно-вытяжная вентиляция с очисткой воздуха, система кондиционирования, фильтры воды, подогрев и т.д.
Охрана 24/7, система видеонаблюдения, подземный паркинг (мм в наличии).
Свободная продажа, первичные документы. Оперативный показ.
Договор подписан.
Партнерам - бонус! Участник Ассоциации агентств элитной недвижимости AREA, 8 фото</t>
  </si>
  <si>
    <t>https://www.cian.ru/sale/flat/333015593</t>
  </si>
  <si>
    <t>Москва, улица Спиридоновка, 8</t>
  </si>
  <si>
    <t>Продаётся  1-я квартира , РЕДКОЕ ПРЕДЛОЖЕНИЕ в одном из самых ПРЕСТИЖНЫХ  районов  Москвы - ул. Спиридоновка дом 8, во дворе своя парковка под шлагбаум, не маленькая !!!!  2/13 этажного кирпичного дома ( 1966 г.п.), окна во двор, 36.6/20.5/7.76+лоджия на всю длину комнаты и кухни- 6 метров,застеклена. Консьерж..Много ЗЕЛЕНИ . Наследство по закону, больше трёх лет, от Матери к Сыну. Чистая продажа, в ДКП полная стоимость.Возможен РАЗУМНЫЙ торг. Звоните отвечу на все вопросы. Показ по договорённости., 18 фото</t>
  </si>
  <si>
    <t>https://www.cian.ru/sale/flat/331362298</t>
  </si>
  <si>
    <t>Эксклюзивное предложение.
Шикарная квартира в "ЖК Бакст", лучшем доме на Патриарших!
Новый дом класса DELUXE 2020 года постройки. 
Квартира без отделки, свободной планировки. Предполагается кухня-гостиная 55 м2 с дровяным камином, мастер-спальня 24 м2 со своей гардеробной и санузлом, две спальни по 18 м2, 3 сан.узла, гардеробная, постирочная.
В доме есть все современные коммуникации: приточно-вытяжная вентиляция с очисткой воздуха, система кондиционирования, фильтры воды, подогрев и т.д.
Охрана 24/7, система видеонаблюдения, подземный паркинг (мм в наличии).
Есть возможность объединения с соседней квартирой 153 кв.м.
Свободная продажа, первичные документы. Оперативный показ.
Договор подписан.
Партнерам - бонус! Участник Ассоциации агентств элитной недвижимости AREA, 13 фото</t>
  </si>
  <si>
    <t>https://www.cian.ru/sale/flat/328656333</t>
  </si>
  <si>
    <t>Эксклюзивное предложение.
Шикарная квартира в ЖК Бакст, лучшем доме на Патриарших!
Новый дом класса DELUXE 2020 года постройки. 
Квартира без отделки, свободной планировки. Предполагаемая планировка: кухня-гостиная 40 м2 с дровяным камином, мастер-спальня 27 м2 со своей гардеробной и санузлом, две спальни по 17 + 18 м2, 3 сан.узла, гардеробная, постирочная.
В доме есть все современные коммуникации: приточно-вытяжная вентиляция с очисткой воздуха, система кондиционирования, фильтры воды, подогрев и т.д.
Охрана 24/7, система видеонаблюдения, подземный паркинг (мм в наличии).
Есть возможность объединения с соседней квартирой 185 кв.м.
Свободная продажа, первичные документы. Оперативный показ.
Договор подписан.
Партнерам - бонус! Участник Ассоциации агентств элитной недвижимости AREA, 13 фото</t>
  </si>
  <si>
    <t>https://www.cian.ru/sale/flat/328717365</t>
  </si>
  <si>
    <t>ID 56387. Изящная 3-комнатная квартира в кирпичном доме в шаге от Патриарших прудов. Планировка: гостиная с зоной кухни с 3 окнами, главная спальня с гардеробной, дополнительная спальня, гостевой туалет и ванная комната. Выполнен ремонт в мягкой современной классике. В квартире предусмотрен климат-контроль. Большие окна открывают симпатичные виды на 2 стороны: на зеленый сквер и во двор. Отремонтированный подъезд, лифт, домофон, в огороженном дворе - стихийная парковка. В одной минуте от дома - Патриаршие пруды с зеленой зоной для прогулок и вся насыщенная инфраструктура исторического центра Москвы. Ближайшие станции метро - Пушкинская, Маяковская.
ПРЯМОЙ ПРЕДСТАВИТЕЛЬ СОБСТВЕННИКА.
ОПЕРАТИВНЫЙ ПОКАЗ. БЕЗ КОМИССИИ ДЛЯ ПОКУПАТЕЛЯ.
Intermark Real Estate - участник ассоциации AREA.            
Мы работаем в выходные и праздничные дни, будем рады вашим звонкам в любое время., 8 фото</t>
  </si>
  <si>
    <t>https://www.cian.ru/sale/flat/300189345</t>
  </si>
  <si>
    <t>ID 64623. ТОРГ.
Прекрасное предложение в районе Патриарших прудов - 3-комнатная квартира в известном фасадном доме на Никитской улице.
Уютное жилое пространство: кухня, гостиная, две отдельные комнаты, с/у, холл. Высокие потолки, хорошая инсоляция. Большие окна обращены на 2 стороны света: в тихий зеленый дворик и на Гранатный переулок.
Ухоженный подъезд с лифтом, охраняемый двор с детской площадкой и парковкой. В пешей доступности - Тверской бульвар, театры, гастробары и рестораны; 10 минут пешком до Патриаршего пруда, 1520 минут до Арбата, Храма Христа Спасителя и Манежной площади. Удобный быстрый выезд на Садовое кольцо.
ПРЯМОЙ ПРЕДСТАВИТЕЛЬ СОБСТВЕННИКА.
ОПЕРАТИВНЫЙ ПОКАЗ. БЕЗ КОМИССИИ ДЛЯ ПОКУПАТЕЛЯ.
Intermark Real Estate - участник ассоциации AREA.            
Мы работаем в выходные и праздничные дни, будем рады вашим звонкам в любое время., 15 фото</t>
  </si>
  <si>
    <t>https://www.cian.ru/sale/flat/326582339</t>
  </si>
  <si>
    <t>ID 64717. ЖК Гранатный Палас. Эксклюзивное предложение в знаковом камерном доме Гранатный Палас в районе Патриарших - просторный пентхаус с окнами в пол, фантастической панорамой на 4 стороны света и впечатляющими видами на исторический центр и его достопримечательности как на ладони. 
Просторная площадь, возможно удобно и эргономично спланировать общую зону кухни-гостиной, 5 спален, 5 с/у, гардеробные, подсобные помещения. У пентхауса предусмотрено несколько приватных террас.
Квартира предлагается без отделки - будущие владельцы смогут спланировать жилое пространство по своему вкусу и реализовать дизайн-проект своей мечты.
"Гранатный 8" - один из лучших клубных домов делюкс-класса в районе Патриарших. Элитарная архитектура, шикарные лобби, круглосуточная профессиональная охрана, подземная парковка, утопающая в зелени закрытая территория. Для резидентов открыты собственный фитнес-центр с бассейном, хамам, сауна, салон красоты, библиотека и бильярдная комната.
Жилой комплекс располо ..., 14 фото</t>
  </si>
  <si>
    <t>https://www.cian.ru/sale/flat/313916510</t>
  </si>
  <si>
    <t>ID 64945. Воздушная трёхкомнатная квартира с ж/б перекрытиями в самом сердце Патриарших прудов. С высотой потолков 3,4 метра и безупречной отделкой в современном стиле пространство наполнено светом и элегантной лёгкостью. Нейтральная белая палитра послужила идеальным фоном для сочных акцентов в авторской мебели и декоре.
Планировка продумана для комфортной жизни: просторная кухня-гостиная, изолированная мастер-спальня с гардеробной и собственной ванной, вторая спальня и дополнительный санузел. Все материалы премиум-класса: инженерная доска, бесшумные стеклопакеты и система климат-контроля. Все окна спален обращены во двор -  в квартире очень тихо! 
Дом с аккуратными входными группами и лифтом. Во дворе за шлагбаумом организована парковка для жильцов. 
В 5 минутах ходьбы - умиротворяющая гладь Патриаршего пруда, а вокруг - культурно-досуговая жизнь исторического центра столицы: музеи, театры, множество атмосферных гастробаров и ресторанов. 
ПРЯМОЙ ПРЕДСТАВИТЕЛЬ СОБСТВЕННИКА.
ОПЕ ..., 18 фото</t>
  </si>
  <si>
    <t>https://www.cian.ru/sale/flat/333793563</t>
  </si>
  <si>
    <t>https://www.cian.ru/sale/flat/334577799</t>
  </si>
  <si>
    <t>https://www.cian.ru/sale/flat/334575650</t>
  </si>
  <si>
    <t>195060
4-комнатные апартаменты 109,2 кв. м на Патриках.
Планировка: кухня, гостиная, две спальни, кабинет, ванная комната с душевой кабиной.
Для жителей дома предусмотрена парковка за шлагбаумом.
Сотрудничаем с агентами.
Участник ассоциации AREA, 15 фото</t>
  </si>
  <si>
    <t>https://www.cian.ru/sale/flat/334575608</t>
  </si>
  <si>
    <t>104759 ЖК Тверской б-р, д. 19
Видовая квартира в фасадном особняке на Тверском бульваре.
Планировка: кухня-гостиная, мастер-спальня, две отдельные детские, ванная комната, гостевой санузел. Монохромный интерьер в стиле современной классики.
Из окон, ориентированных на три стороны, открываются бесценные виды на Тверской бульвар, МХАТ им. М. Горького, Московский драматический театр им. А. С. Пушкина, Храм Апостола Иоанна Богослова. Парадная входная группа. Огороженная территория, охрана. Закрепленное машиноместо во дворе.
Прямой представитель собственника.
Участник ассоциации AREA, 10 фото</t>
  </si>
  <si>
    <t>https://www.cian.ru/sale/flat/334575523</t>
  </si>
  <si>
    <t>189971
Уникальная 2-уровневая квартира с действующим камином на Малой Бронной.
Планировка: 
1 уровень: кухня, гостиная, зона отдыха с действующим камином, спальня с ванной комнатой, вторая спальня;
2 уровень: зона отдыха с камином, бильярдом и сауной, мастер-спальня с собственной гардеробной комнатой и ванной, гостевая спальня.
Квартира полностью меблирована и оснащена всей необходимой техникой для комфортного проживания. 
Окна ориентированы во двор и тихий переулок.
Предусмотрена парковка в охраняемом дворе.
В непосредственной близости от дома находятся лучшие рестораны и кафе Москвы, бутики, галереи, музеи, а также изумительные скверы и бульвары для прогулок. В пешей доступности расположены три станции метро (Тверская, Маяковская и Баррикадная).
Сотрудничаем с агентами.
Участник ассоциации AREA, 20 фото</t>
  </si>
  <si>
    <t>https://www.cian.ru/sale/flat/334575374</t>
  </si>
  <si>
    <t>https://www.cian.ru/sale/flat/334575318</t>
  </si>
  <si>
    <t>https://www.cian.ru/sale/flat/334577867</t>
  </si>
  <si>
    <t>Эксклюзив!
32 дом по Малой Бронной улице, два этажа под медной кровлей, террасы с невообразимой панорамой, что еще можно к этому добавить?
     В столице по-настоящему знаковых мест столь мало, что перечислить их хватит пальцев одной руки. И именно здесь самое значимое из них, ставшее нарицательным, тут гремели удивительные события знаменитого романа, а мраморные ступени в парадной помнят поступь его несравненного автора. 
     Стоит только представить, что просторная гостиная наполнена причудливым мельканием теней от всполохов огня в каминном портале, а за панорамными окнами, за коваными перилами террас раскинулся бескрайний вид Москвы, тот самый, знаковый, с гладью знаменитого пруда, безупречным акцентом переднего плана. Удивительное место, где пересекается современность и история, где становится очевидным постулат, что неповторимость - это статус, где соседствуют домашний уют и бесконечность пространства, времени, возможностей.
     Этот пентхаус как настоящий дом вобрал в себя лучш ..., 15 фото</t>
  </si>
  <si>
    <t>https://www.cian.ru/sale/flat/323390973</t>
  </si>
  <si>
    <t>Жить на Патриарших с окнами в тихий сквер и с собственным машиноместом во дворе - нереально?! Прошу...
     Квартира, уровень отделки, сочетание мебели и дизайнерских решений которой, не могут оставить равнодушной самую требовательную хозяйку.  Дом 1986 года постройки с консьержем и видеонаблюдением, закрытый огороженный двор. Дизайнерский ремонт и современная мебель, гардеробная, бойлер, потолки 3 метра, изолированные комнаты 22 и 14 кв.м., лоджия переоборудованная в кабинет, выделенное машиноместо во дворе за шлагбаумом и раздвижными воротами.
     Все окна выходят во внутренний двор. Абсолютная тишина и спокойствие, панорамный вид на музей и церковь. В пешей доступности м. Тверская, Баррикадная, Арбатская., 23 фото</t>
  </si>
  <si>
    <t>https://www.cian.ru/sale/flat/334307206</t>
  </si>
  <si>
    <t>Москва, Большой Козихинский переулок, 23</t>
  </si>
  <si>
    <t>СВОБОДНАЯ ПРОДАЖА! ПЕРЕПЛАНИРОВКА УЗАКОНЕНА! Прекрасная квартира для истинных ценителей красоты, качества и уюта. Свежий ремонт только закончен, использованы  качественные, натуральные и современные материалы. Тихая часть Патриарших прудов, рядом нет открытых веранд и кофеен, поэтому вечерняя громкая зона не про нас. В квартире две полноценные спальни, гардеробная/кабинет/спальня, как захотите, большая кухня, огромная столовая-гостинная. Тихий, зеленый живописный двор. Квартира оборудована современной бытовой техникой и системой кондиционирования.   Один взрослый собственник, никто не прописан, юридически чистая. Показы по договоренности. При серьезном намерении торг уместен., 49 фото</t>
  </si>
  <si>
    <t>https://www.cian.ru/sale/flat/334214012</t>
  </si>
  <si>
    <t>Номер объекта: 587984. Уникальный дом, построенный для руководителей и выдающихся деятелей советской эпохи, соседствует с Домом Приемов МИДа и районом Патриарших прудов. Этот дом советской элиты и сегодня отвечает самым высоким стандартам комфортного жилья, а обслуживание и охрана дома остаются на традиционно высоком уровне. Предложения квартир на продажу здесь появляются крайне редко. 
Просторная 4-комнатная квартира площадью 192.6 кв.м расположена на 5-м этаже. Функциональное планировочное решение: просторная гостиная, кухня, 3 спальни, 3 санузла, кладовая, 2 лоджии.
Высокие потолки. Панорамные окна.
Закрепленное машино-место в закрытом и охраняемом дворе.
Дом расположен в 10 минутах пешком от легендарных Патриарших прудов. Рядом с домом находятся лучшие рестораны и кафе Москвы, бутики, галереи, музеи, изумительные скверы и бульвары для прогулок.
Участник ассоциации AREA, 33 фото</t>
  </si>
  <si>
    <t>https://www.cian.ru/sale/flat/328760948</t>
  </si>
  <si>
    <t>Москва, Ермолаевский переулок, 8</t>
  </si>
  <si>
    <t>Арт. 131441434 Продается квapтиpa в oдном из самых прecтижных мaлoкваpтирных дoмов нa
Патриaршиx пpудax. Кирпичный дoм ЦК, 1981 гoда пoстрoйки, выcота пoтoлков 3 м. B подъездe кoнсъepж. Высoкий пeрвый этaж, в квaртирe свeтло и тиxо. Прeзентабельная входная группа после ремонта, лифты новые, консьерж.
Парковка на закрытой территории, заезд через ворота с помощью пульта.
Просторный холл, кухня почти 14 кв. м. Окна выходят во двор, в квартире абсолютно тихо. Дом находится в благоустроенной городской среде в окружении многочисленных культурных объектов и достопримечательностей. Вся инфраструктура Патриарших прудов в 2 минутах пешком.
Дом находится всего в 10 минутах пешком от станции метро "Маяковская"., 29 фото</t>
  </si>
  <si>
    <t>https://www.cian.ru/sale/flat/327046386</t>
  </si>
  <si>
    <t>Арт. 92484467. Для ценителей атмосферы Патриарших прудов
Предлагается 3-комнатная квартира площадью 90 м² в одной из самых престижных локаций Москвы — на Патриарших прудах в Большом Козихинском переулке.
Квартира расположена на 2 этаже исторического 7-ми этажного кирпичного дома, построенного в 1933 году в стиле конструктивизм. В доме всего 27 квартир, что обеспечивает приватную атмосферу. Окна выходят на две стороны — в тихий двор и в Малый Козихинский переулок на небольшой зелёный сквер. В квартире тихо, несмотря на близость Патриков, и много света.
Планировка
 Просторная гостиная с кухонной зоной;
 две спальни;
 гардеробная;
 два санузла;
 холл.
В квартире выполнен дизайнерский ремонт с использованием высококачественных материалов европейских производителей. Пространство полностью меблировано и оснащено встроенной техникой, установлена система климат-контроля. Можно заехать и жить без дополнительных вложений в ремонт.
Дом с закрытым двором, видеонаблюдением и парковкой для ..., 18 фото</t>
  </si>
  <si>
    <t>https://www.cian.ru/sale/flat/331327966</t>
  </si>
  <si>
    <t>Арт. 77175604. Элегантная 2-комнатная квартира с видом на Патриаршие пруды и собственной террасой
Предлагается стильная 2-комнатная квартира с прямым живописным видом на Патриаршие пруды и собственной террасой. Интерьер выполнен в современной высококачественной отделке с использованием премиальных материалов.
Функциональная планировка включает:
 просторную кухню-гостиную;
 уютную спальню;
 ванную комнату.
Квартира полностью меблирована и готова к проживанию. В отделке, мебели и бытовой технике использованы премиальные бренды, что подчеркивает высокий уровень объекта.
Дополнительные преимущества:
 высокие потолки, создающие ощущение пространства и света;
 чистый и ухоженный подъезд;
 респектабельное окружение и доброжелательные соседи.
Локация — одна из самых престижных в Москве: в пешей доступности расположены лучшие рестораны и кафе, бутики, галереи, музеи, а также уютные скверы и бульвары для прогулок.
Удобная транспортная доступность: рядом находятся станции метро "Тверс ..., 19 фото</t>
  </si>
  <si>
    <t>https://www.cian.ru/sale/flat/331228852</t>
  </si>
  <si>
    <t>Арт. 48969257. Продается единственный панорамный пентхаус площадью 950 квадратных метров с двумя большими террасами в одном из самых престижных и приватных клубных домов Москвы - "Гранатный Палас", район Патриарших прудов.
Свободная планировка, панорамные окна на 4 стороны с лучшими видами на историческую Москву, высокие потолки - все это дает возможность обустроить квартиру Вашей мечты в 2-х километрах от Кремля! В стоимость входят 4 машино-места в подземном паркинге.
"Гранатный Палас" клубный дом всего на 17 квартир с подземным паркингом на 37 машино-мест, СПА комплексом, тренажерным залом и детским клубом.
Фасаддома выполнен в стиле ар-деко, облицован гранитом, украшен пилонами, скульптурами, орнаментом, стеклянными витражами с переплётами из ценных пород дерева. При строительстве использовались только дорогие и экологически чистые материалы.
Ухоженный зеленый двор с садом и детской площадкой. Закрытая территория с надежной системой охраны. Статусные соседи.
Дом расположен в ти ..., 9 фото</t>
  </si>
  <si>
    <t>https://www.cian.ru/sale/flat/333843808</t>
  </si>
  <si>
    <t>Продается уникальная четырехкомнатная квартира в историческом центре Москвы на Малой Бронной улице. Общая площадь квартиры составляет 113.8 кв. м, жилая — 64.8 кв. м, кухня — 12.5 кв. м. Квартира находится на 4 этаже 5-этажного кирпичного дома, построенного в 1910 году. Высокие потолки 3.5 метра добавляют ощущение простора и света.
Квартира с дизайнерским ремонтом: все продумано до мелочей, качественные материалы, стильная мебель и современная бытовая техника. Планировка включает 4 просторные комнаты, удобную кухню и два санузла — один совмещенный и один отдельный. Окна выходят во двор, поэтому в квартире тихо и уютно.
Дом в отличном состоянии с наземной парковкой и пассажирским лифтом. Близость к метро "Тверская" — всего 10 минут пешком, что делает перемещение по городу удобным и быстрым.
Район с развитой инфраструктурой: рядом находятся школы, детские сады, клиники и магазины. Все необходимое для комфортной жизни в шаговой доступности.
Продажа оформляется по договору купли-продаж ..., 24 фото</t>
  </si>
  <si>
    <t>https://www.cian.ru/sale/flat/329883864</t>
  </si>
  <si>
    <t>Лот 57933. Оксана Мартынова.
Патриаршие пруды, тихо, стильный ремонт. Предлагается стильная квартира, площадью 111.4 кв.м. в кирпичном доме с железобетонными перекрытиями ( здание реконструировалось в 1970 году). Функциональная планировка: просторная кухня-гостиная с выходом на балкон, мастер-спальня, гардеробная, санузел с ванной, вторая спальня, санузел с душевой, холл. Потолки 2.8 м.  В квартире выполнен качественный ремонт, установлена канальная система кондиционирования, квартира укомплектована техникой и мебелью американских и итальянских брендов, в квартире очень тихо, все окна ориентированы во двор. Паркинг стихийный во дворе, заезд во двор через шлагбаум. Свободная продажа.
Есть презентации в pdf на русском или английском для партнеров. Член ассоциации агентств элитной недвижимости AREA., 22 фото</t>
  </si>
  <si>
    <t>https://www.cian.ru/sale/flat/334690634</t>
  </si>
  <si>
    <t>Краснопресненская</t>
  </si>
  <si>
    <t>Эксклюзивное предложение рынка элитной недвижимости! Панорамный пентхаус, в доме класса De luxe "Гранатный Палас"! 
Пентхаус занимает полностью последний этаж дома, открытые террасы, виды! Площадь, без учета террас, лоджий и балконов - 901,2 м2 (Площадь указана в  Росреестре).
Из панорамных окон открываются виды на четыре стороны: на Центральный Дом Архитектора, Храм Вознесения Господня у Никитских ворот, высотку на Баррикадной, Дом приемов МИД,  на усадьбу Зубовых -Леонтьевых, зеленые переулки Патриарших прудов.
Преимущества пентхауса:
- свободная планировка, пространство удобно делится на гостевую зону и приватную зоны с возможностью в каждой установить настоящий дровяной камин;
- два парадных и два черных входа;
- отдельные лифты;
- высота потолков 3,8 метра;
- панорамные окна;
- террасы, балконы, выход на эксплуатируемую кровлю;
- пентхаус можно разделить на 2 отдельные квартиры.
Имеется 4 машиноместа  в подземном паркинге.
"Гранатный Палас" - один из лучших клубных домов делюкс ..., 14 фото</t>
  </si>
  <si>
    <t>https://www.cian.ru/sale/flat/319264259</t>
  </si>
  <si>
    <t>КЛЮЧИ!!!!Просмотры по договоренности.  БЫСТРЫЙ выход на сделку, свободная продажа!  Предлагается на продажу великолепная трехкомнатная квартира с использованием натуральных материалов. Функциональная планировка: просторная гостиная с кухней, которая полностью оснащена мебелью и бытовой техникой. Спальня с гардеробной комнатой и санузлом, ванна. Кабинет. Гостевой санузел, душевая кабина. Хозяйственная-постирочная комната. Гардеробная комната. Квартира очень уютная, окна выходят во двор.  Высокие потолки - 3,4 м.  Просторный, парадный подъезд с консьержем. Охраняемая парковка в закрытом дворе, въезд через шлагбаум. Патриаршие пруды расположены всего в 4 минутах пешком от дома. До станций метро Пушкинская и Маяковская 8 минут пешком. В непосредственной близости от дома находятся лучшие рестораны и кафе Москвы, бутики, галереи, музеи, изумительные скверы и бульвары для прогулок., 28 фото</t>
  </si>
  <si>
    <t>https://www.cian.ru/sale/flat/332805814</t>
  </si>
  <si>
    <t>Москва, Спиридоньевский переулок, 2/22</t>
  </si>
  <si>
    <t>Лот:61414. 
Эксклюзив! Ключи! Оперативные показы. Вашему вниманию предлагается прекрасная квартира после косметического, обновленного ремонта, со всей новой мебелью. Квартира располагается в тихой части дома, что обеспечивает спокойное, тихое и безопасное проживание и является ценным, неоспоримым плюсом в районе Патриарших прудов. 
Квартира представляет собой просторную гостиную, изолированную кухню, спальню со встроенным вместимым шкафом, совмещенный санузел с окном, а также зону прихожей. Из окон открываются прекрасные виды, в сторону двух дворов, при этом с ощущением простора. Доступ машин во двор осуществляется через шлагбаум., 10 фото</t>
  </si>
  <si>
    <t>https://www.cian.ru/sale/flat/333003496</t>
  </si>
  <si>
    <t>Лот 59489. Оксана Мартынова.
ЭКСКЛЮЗИВ. Новый дорогостоящий ремонт, в квартире никто не жил. В самом центре Москвы в тихой части Патриарших расположен клубный ЖК Дом в центре легенды предлагается к продаже двухуровневая квартира, площадью 323.5 кв.м. 
Функциональная планировка: 
1 уровень: просторная гостиная 67.1 кв., кабинет с выходом на лоджию, кухня 14.2 кв.м., столовая 15.4 кв.м., ещё один кабинет 14.4 кв.м. с выходом на лоджию, гостевой санузел, кладовка, просторный холл; 
2 уровень: мастер-блок: спальня 34.5 кв.м. со своим санузлом 13.7 кв.м. и гардеробной комнатой 15.4 кв.м., детская зона, состоящая из спальни 30.7 кв.м., санузлом 7,2 кв.м, комнаты 12,2 кв.м. с выходом на лоджию, спальни 11.9 кв.м. и еще одного санузла. 
В пешей доступности расположены театры, музеи, рестораны, школы, детские сады, поликлиника, сквер и множество прогулочных зон.
Имеется машиноместо в подземном паркинге как дополнительная опция. Свободная продажа. Нет налога на роскошь.
Бонус партнерам 50%.
 ..., 43 фото</t>
  </si>
  <si>
    <t>https://www.cian.ru/sale/flat/326313686</t>
  </si>
  <si>
    <t>Лот 58706. Кильдиева Альфия.
Продается светлая 3-комнатная квартира в знаменитом фасадном доме на Большой Никитской улице. 
Функциональная планировка включает гостиную, две спальни, кухню,  раздельный санузел. Окна выходят во двор и в тихий Гранатный переулок. Высокие потолки 3 метра создают ощущение объема и наполняют пространство светом.
Уникальная локация в сердце исторической Москвы: в нескольких минутах пешком Патриаршие пруды, лучшие рестораны, театры, музеи и знаковые городские места.
Юридически чистый объект: один собственник, договор купли-продажи 2006 года, без обременений и несовершеннолетних собственников. Возможна ипотека.
Квартира для тех, кто ценит атмосферу центра Москвы и редкие адреса с историей.
Бонус партнерам 50%.
Есть презентации в pdf на русском или английском для партнеров. Член ассоциации агентств элитной недвижимости AREA., 15 фото</t>
  </si>
  <si>
    <t>https://www.cian.ru/sale/flat/330475537</t>
  </si>
  <si>
    <t>Лот: 11121. Видовой пентхаус с террасой и каминами в клубном доме класса deluxe "Гранатный, 8" на Патриарших прудах. Квартира расположена на 8-м этаже и предлагается без отделки, что открывает возможность воплотить любые дизайнерские фантазии и создать интерьер вашей мечты.
Планировка свободная и легко трансформируется. 
Один из возможных вариантов: 
- просторная гостиная-кухня с настоящим дровяным камином,
- несколько приватных зон, до 9 спален, в каждой из которых также можно установить камин. 
Для максимального удобства предусмотрены два парадных и два дополнительных входа с отдельными лифтами и выходом на эксплуатируемую кровлю.
Высота потолков - 3,8 м.
Панорамные окна ориентированы на четыре стороны, открывая завораживающие виды на Центральный Дом Архитектора, Храм Вознесения Господня у Никитских ворот, высотку на Баррикадной, Дом приёмов МИД и зелёные переулки Патриарших прудов.
Клубный дом "Гранатный, 8" - один из лучших deluxe-комплексов Москвы. Входные группы оформлены нату ..., 30 фото</t>
  </si>
  <si>
    <t>https://www.cian.ru/sale/flat/294650782</t>
  </si>
  <si>
    <t>Москва, Малая Бронная улица, 19А</t>
  </si>
  <si>
    <t>Лот: 1286251  Предлагается к продаже квартира на Патриарших прудах. Прекрасное месторасположение, въезд под шлагбаум, большой зеленый сквер во внутреннем дворе дома. Квартира без ремонта. Один взрослый собственник, первичные документы (более 30 лет), полная стоимость, несложная альтернатива., 10 фото</t>
  </si>
  <si>
    <t>https://www.cian.ru/sale/flat/334993157</t>
  </si>
  <si>
    <t>Квартира с 3 спальнями общей площадью 161 м² в доме "Спиридоньевский, 12" на 2 этаже. 
Дизайнерская отделка выполнена в классическом стиле, интерьер украшен декоративными молдингами, венчающими карнизами и лепниной. На полу выложен паркет из дуба. 
Благодаря высоким потолкам и широкоформатным окнам пространство наполнено естественным светом и теплом. Функциональная планировка включает гостиную с камином и выходом на балкон, кухню-столовую, мастер-спальню с собственной ванной комнатой с окном, 2 спальни, два санузла и холл. 
Квартира меблирована и укомплектована бытовой техникой, установлена система индивидуального кондиционирования. Окна ориентированы на три стороны света, открываются виды на Спиридоньевский и Большой Козихинский переулки, а также во внутренний двор, где возможно арендовать два машино-места на наземной парковке.
Главное о доме. "Спиридоньевский, 12" — 5-этажный дом на 28 квартир в Пресненском районе в стилистике поздней эклектики и неоклассицизма. Займитесь йогой н ..., 26 фото</t>
  </si>
  <si>
    <t>https://www.cian.ru/sale/flat/331852526</t>
  </si>
  <si>
    <t>Продается эксклюзивная квартира в престижнейшем районе Пресненский  Патриаршие пруды  
Локация, не нуждающаяся в представлении  
Патриаршие пруды  сердце Москвы, символ статуса, тишины и архитектурной гармонии. Здесь переплетаются история, зелень и атмосфера старой Москвы с современным комфортом. Район, где каждая деталь подчеркивает высокий социальный статус.  
Дом  архитектурное наследие с душой  
Жилой дом в неоклассическом стиле (2002 г. постройки)  редкий пример монолитно-кирпичного строительства с благородным фасадом из натурального камня и декоративной штукатурки. Колонны, высокие окна, изящные балконы, русты и карнизы создают ощущение парадности. Всего 27 квартир  минимум соседей, максимум приватности.  
 О квартире:  
 Окна выходят в тихий внутренний  никакого городского шума.  
 Высота потолков  3 метра  воздух и свет.  
 Дизайнерский ремонт, продуманное зонирование: просторная кухня-гостиная с декоративным камином и отдельной спальной комнатой, много встроенных с ..., 23 фото</t>
  </si>
  <si>
    <t>https://www.cian.ru/sale/flat/329470754</t>
  </si>
  <si>
    <t>Код объекта: 2365274.
Представляем вашему вниманию потрясающую 1-комнатную квартиру в самом сердце Пресненского района Москвы! ( ЦАО).
Описание квартиры
 • Пространство, созданное для спокойной жизни, статуса и удовольствия от каждой детали.
 • Общая площадь — 38,3 кв.м.
 • Продуманная и функциональная планировка.
 • Светлая кухня - 10 кв. м, оснащена высококлассной кухонной гарнитурой.
 • 1 изолированная спальня — ваше комфортное приватное пространство.
 • Гостиная - элегантная зона для отдыха, встреч с друзьями и семейных вечеров.
 • 1 совмещенный санузел - практичное решение, организован эргономично.
 • Дизайнерский ремонт выполнен с вниманием к каждой детали: качественные материалы, гармоничная стилистика и интерьер, который выглядит дорого и актуально.
 • Квартира полностью укомплектована мебелью. Вам не придется тратить время и средства на дополнительное обустройство — квартира готова к комфортному проживанию. 
 • Надежная инженерия: продуманные технические решения обеспечивают  ..., 28 фото</t>
  </si>
  <si>
    <t>https://www.cian.ru/sale/flat/334529112</t>
  </si>
  <si>
    <t>Москва, Большой Патриарший переулок, 12С1</t>
  </si>
  <si>
    <t>Предлагаю вашему вниманию большую, светлую и уютную 4-комнатную квартиру в самом сердце района Патриаршие пруды!
ПРЕИМУЩЕСТВА ОБЪЕКТА:
— большая, светлая и уютная четырёхкомнатная квартира площадью 92,4 м² — здесь вы сможете реализовать свои дизайнерские идеи;
— в доме 6 этажей, два подъезда, а на каждом этаже — всего четыре квартиры;
— закрытый ухоженный подъезд с видеонаблюдением;
— добрые и приветливые соседи;
— закрытая территория во внутреннем дворе, где жильцы могут оставлять автомобили;
— полы из лиственницы, мансардный этаж построен по канадской технологии;
— уютная и просторная кухня-гостиная с выходом на балкон;
— изолированные комнаты разной площади создают ощущение приватности и личного пространства.
Планировка: 
— на первом этаже — гостиная, кухня, раздельный санузел с ванной и комната;
— на мансардном этаже — две комнаты и совмещённый санузел с душем.
ПРЕИМУЩЕСТВА ИНФРАСТРУКТУРЫ:
— рядом — Патриаршие пруды, сердце района и излюбленное место для прогулок и отдыха: уютный с ..., 39 фото</t>
  </si>
  <si>
    <t>https://www.cian.ru/sale/flat/332768474</t>
  </si>
  <si>
    <t>Продается уютная 2-комнатная квартира на третьем этаже кирпичного дома 1906 года постройки. Общая площадь — 67 кв. м, жилая — 40 кв. м, кухня — 10 кв. м. Дом находится в шаговой доступности от метро "Пушкинская" — всего 7 минут пешком. С покупкой квартиры вы становитесь  правообладателем части земельного участка под домом и на общее домовое имущество на Патриарших прудах.
В квартире выполнен дизайнерский ремонт, усилены несущие конструкции потолка и пола. Вся мебель остается покупателю. 
Просторная кухня оборудована современной техникой и готова к использованию.
 Большие окна выходят на улицу, что обеспечивает много естественного света в течение дня. Санузел совмещенный, оформлен в современном стиле.
Дом в хорошем состоянии, несмотря на его возраст, в 2020 году выполнен капитальный ремонт дома с заменой всех коммуникаций. Кирпичные стены обеспечивают отличную шумо- и теплоизоляцию, поэтому в квартире всегда комфортно. В подъезде всего шесть квартир, а это тишина и приватность в центр ..., 27 фото</t>
  </si>
  <si>
    <t>https://www.cian.ru/sale/flat/334232928</t>
  </si>
  <si>
    <t>К продаже предлагается комфортная 3-комнатная видовая квартира общей площадью 61 м2, в уникальном фасадном доме, построенном по индивидуальному проекту архитектора А.И. Ефимова - жилищный кооператив "Кремлевский работник". Дом расположен на одной из самых престижных, тихих и комфортных для жизни улиц города.  
Текущей планировкой предусмотрено:   
- кухня   
- гостиная  
- 2 изолированные спальни   
- раздельный с/у  
Отличное расположение окон, тишина, изолированные комнаты и высокие потолки, все для того, чтобы создать комфорт для жизни.   
Во дворе дома парковка только для жителей дома.  
Прекрасное расположение в историческом районе Москвы, Все рядом — в пешей доступности масса театров, музеев, школ, магазинов, ресторанов, парков, прогулочных зон. Шикарная транспортная доступность.   
Дом окружен усадьбами, особняками и памятниками архитектуры.   
1 Собственник, ДКП более 10 лет, без обременений, быстрый выход на сделку.  
Звоните, с удовольствием расскажу Вам о квар ..., 13 фото</t>
  </si>
  <si>
    <t>https://www.cian.ru/sale/flat/330531897</t>
  </si>
  <si>
    <t>В продажу предлагается двухуровневая квартира на Патриарших прудах.  
Квартира с действующим дровяным камином, Бильярдом, Кинотеатром и баром. В квартире очень тихо, ощущение загородного дома.   
Парковка в охраняемом дворе, окна выходят во двор и тихую улицу.  
Планировка:   
1 уровень: Кухня, гостинная, 3 спальни, санузел.  
2 уровень: Просторная гостинная, спальня , 2 санузла, сауна, кладовая.  
Развитая инфраструктура и район. Все исторические места находятся в пешей доступности., 28 фото</t>
  </si>
  <si>
    <t>https://www.cian.ru/sale/flat/320914766</t>
  </si>
  <si>
    <t>id:2058. 
Предлагается в продажу  трёхкомнатная квартира общей площадью 65 м. Квартира расположена на втором этаже четырёхэтажного кирпичного дома. 
В квартире выполнен косметический  ремонт. Видовые характеристики квартиры на две стороны: во двор и на живописный переулок.
 Дом расположен в престижном историческом  районе Москвы, неподалёку от станций метрополитена "Пушкинская" и "Тверская", делает это жильё особенно привлекательным.
Жилой дом был благоустроен с учётом всех современных требований к комфорту: здесь есть централизованное водоснабжение, надёжная система отопления, газификация, качественная звукоизоляция и современная электропроводка. Реставрация здания была завершена в 2021 году - специалисты восстановили фасад до первоначального состояния.
Эта квартира идеально подойдёт как для постоянного проживания, так и для сдачи в аренду. Здесь вы сможете наслаждаться уютом и комфортом в самом сердце города, сочетая современную жизнь с очарованием исторического облика района., 16 фото</t>
  </si>
  <si>
    <t>https://www.cian.ru/sale/flat/332658828</t>
  </si>
  <si>
    <t>Арт. 145029834 ВОЗМОЖНОСТЬ ПОЛУЧЕНИЯ ИПОТЕЧНОЙ СТАВКИ ОТ 12,25% !
При совершении сделки с 01.07.2026г по 31.10.2026г подарок для наших клиентов - ВАУЧЕР НА ПОЕЗДКУ В ТУРЦИЮ на 8 дней на двоих (проживание, завтрак и экскурсии) !! 
Уникальная квартира на Патриарших прудах в легендарном доходном доме архитектора Вульфсона - объекте с историей, характером и атмосферой старой Москвы.
Дом 1913 года постройки входит в реестр объектов культурного наследия и расположен в одной из самых престижных и эстетичных локаций столицы. Здесь чувствуется та самая Москва: тихие переулки, архитектура с историей, прогулки вокруг Патриарших и особая энергетика центра города.
В 1988 году дом прошёл полную реконструкцию по специальному проекту:
• были установлены железобетонные перекрытия  
• полностью заменены все коммуникации  
• внутри здания появился несущий железобетонный каркас  
• установлен лифт и мусоропровод
При этом сохранены исторические элементы дома, включая уникальные лестничные пролёты с ав ..., 14 фото</t>
  </si>
  <si>
    <t>https://www.cian.ru/sale/flat/334231436</t>
  </si>
  <si>
    <t>Квартира с прямым видом на Новопушкинский сквер
Современная функциональная планировка 
Не требует дополнительных вложений 
Ремонт из дорогих натуральных материалов
Перекрытия ж/б
Входная группа отреставрирована, установлен новый лифт
Звоните!, 28 фото</t>
  </si>
  <si>
    <t>https://www.cian.ru/sale/flat/327884005</t>
  </si>
  <si>
    <t>Москва, Малый Козихинский переулок, 11с2</t>
  </si>
  <si>
    <t>Продается просторная двухкомнатная квартира в отличном районе, всего в 7 минутах пешком от станции метро Пушкинская. Общая площадь составляет 175 квадратных метров, из которых 12 квадратных метров занимает кухня. Квартира расположена на 2 этаже 6-этажного дома.
В квартире выполнен современный ремонт с использованием качественных материалов. Комнаты светлые и уютные, готовые к заселению. Удобная планировка позволяет разместить всю необходимую мебель и технику, чтобы сделать проживание максимально комфортным. Санузел оборудован современной сантехникой.
Дом находится в хорошем состоянии, подъезды чистые и ухоженные. Рядом с домом предусмотрена парковка для автомобилей жильцов, поэтому можно не беспокоиться о месте для вашего транспорта.
Инфраструктура района развита: в пешей доступности находятся школы, детские сады, клиники и магазины. Все необходимые объекты для комфортной жизни расположены рядом, поэтому можно сэкономить время на дорогу.
Звоните и записывайтесь на просмотр, чтобы о ..., 15 фото</t>
  </si>
  <si>
    <t>https://www.cian.ru/sale/flat/334681165</t>
  </si>
  <si>
    <t>Арт. 143180926 ВОЗМОЖНОСТЬ ПОЛУЧЕНИЯ ИПОТЕЧНОЙ СТАВКИ ОТ 12.25 % !
При совершении сделки с 01.07.2026г по 30.10.2026г подарок для наших клиентов - ВАУЧЕР НА ПОЕЗДКУ В ТУРЦИЮ на 8 дней на двоих (проживание, завтрак и экскурсии)!!!
ПРОДАЁТСЯ УЮТНАЯ КВАРТИРА С ДИЗАЙНЕРСКИМ РЕМОНТОМ НА ПЕРВОМ ЭТАЖЕ КИРПИЧНОГО ДОМА
Предлагаем вашему вниманию квартиру, в которой каждая деталь продумана для комфортной и стильной жизни. Дизайнерский ремонт, качественные материалы и уютная атмосфера создают пространство, в которое хочется возвращаться.
О КВАРТИРЕ
Расположение: Первый этаж кирпичного дома — удобный доступ без необходимости пользоваться лифтом, что особенно ценно для семей с детьми и пожилых людей.
Гостиная: Просторная комната оформлена в светлых тонах, что визуально расширяет пространство и наполняет его светом. Атмосфера здесь располагает к отдыху и уютным вечерам.
Кухня: Площадью 10 м² — функциональное пространство, оборудованное современной техникой: посудомоечная машина, холодильник и др ..., 11 фото</t>
  </si>
  <si>
    <t>https://www.cian.ru/sale/flat/333305644</t>
  </si>
  <si>
    <t>Патриаршие Пруды: Просторная, наполненная светом и воздухом квартира 187,8 м2 в респектабельном, 28-ти квартирном жилом комплексе Сад-Лабиринт, в элитных кварталах на Патриарших прудах. Дом расположен в тихом переулке, при этом есть удобные выезды на Садовое кольцо, Тверской бульвар и Тверскую улицу. В пешей доступности четыре станции метро:  Тверская, Пушкинская, Чеховская, Маяковская; Патриаршие пруды, Патриарший и Пушкинский скверы.
Квартира на высоком 4-м этаже, потолки 3,40 м с новой отделкой, в лаконичной цветовой гамме, преимущественно в светлых тонах. В отделке квартиры использовались элитные натуральные материалы, установлена вся необходимая техника и сантехника: 
Кухня Германия Allmilmo с фасадами из массива тика и столешницей из натурального камня. Бытовая техника: холодильник, морозильник и винный шкаф Llibher. Плита, духовой шкаф, посудомоечная машина, встроенная кофемашина Siemens, Miele. Многоступенчатая очистительная система воды, США.  Отопление Германия Arbonia. Окна  ..., 15 фото</t>
  </si>
  <si>
    <t>https://www.cian.ru/sale/flat/294674312</t>
  </si>
  <si>
    <t>Квартира в старом центре Москвы, 7 минут от метро Пушкинская.
Квартира расположена на 2 этаже четырех этажного кирпичного дома, построенного в 1912 году. Окна выходят на 2 стороны.  В  квартире практически нет несущих стен. Без ремонта.
Прямая продажа. Один совершеннолетний собственник. Квартира без обременений. Быстрый выход на сделку., 13 фото</t>
  </si>
  <si>
    <t>https://www.cian.ru/sale/flat/334229068</t>
  </si>
  <si>
    <t>Представьте: утро на Малой Бронной, чашка кофе в кухнегостиной, а за окном — тихий ухоженный двор. Вечером - прогулка до Патриарших прудов или ужин в любимом ресторане в двух минутах от дома.
Эта квартира 100 кв. м создана для такой жизни: 
Функциональная планировка включает в себя:
- 2 спальни 
-  кухня-гостиная 
- 1 совмещенный санузел
- просторный коридор 
Вы получаете не просто квадратные метры, а статусную локацию в историческом центре: вокруг — театры, скверы, бутики и культовые места Москвы. При этом у вас есть приватность и тишина: окна во двор, парковка во дворе, всё необходимое рядом.
До метро "Тверская", "Пушкинская", "Чеховская" - буквально несколько минут пешком, а вся городская инфраструктура - в шаговой доступности.
Квартира в свободной продаже.
 Позвоните - с радостью расскажу подробнее и подберу удобное время для просмотра.
Арт. 146005723, 16 фото</t>
  </si>
  <si>
    <t>https://www.cian.ru/sale/flat/334715820</t>
  </si>
  <si>
    <t>Объект 6826. 
ЖИЗНЬ НА "ЗОЛОТОЙ МИЛЕ": Квартира мечты в легендарном доме на Малой Никитской
Забудьте о компромиссах. Перед вами редчайшее предложение — просторная 3-комнатная квартира в историческом фасадном доме, где сама атмосфера пропитана духом старой Москвы, а до Патриарших прудов — рукой подать.
Почему это предложение — исключение из правил:
 Идеальный баланс шума и тишины
Окна спален смотрят в уютный зеленый двор, даря вам крепкий сон и уединение. А светлая гостиная и кухня распахнуты в сторону Гранатного переулка — идеальное место для встреч с друзьями.
Бонус: Потолки 3 метра! Воздух, свобода и ощущение настоящего пространства, а не просто "квадратных метров".
 Свобода, доступная избранным
Забудьте о вечном поиске парковки в центре. Ваш автомобиль будет ждать вас на закрытой, охраняемой территории со шлагбаумом. Парковка только для жителей дома — роскошь, которая экономит вам нервы и время каждый день.
 Ваш личный "золотой треугольник"
Вы в эпицентре кул ..., 16 фото</t>
  </si>
  <si>
    <t>https://www.cian.ru/sale/flat/334376832</t>
  </si>
  <si>
    <t>Лот 76604.  Эксклюзив Vesco Realty. ЖК "Сад-Лабиринт" - Пентхаус площадью 307 м2 под отделку расположен в клубном доме Сад-Лабиринт.
УНИКАЛЬНОЕ СОЧЕТАНИЕ ХАРАКТЕРИСТИК
- модная локация в историческом центре
- оптимальная высота для комфортной жизни (7-8 уровень) 
- 3 террасы общей площадью 100 м2
- виды на Кремль. Храм Христа Спасителя, Арбат и на исторический центр Москвы.
- 3 спальни, 1 кабинет, 2 гостиные
- дровяной камин
- под отделку с возможностью быстро сделать ремонт под свой вкус с учетом особенностей жизни вашей семьи
- 2 машиноместа в подземном паркинге
ПЛАНИРОВКА
1 уровень: 
Двухзонная гостиная-столовая (81,1)  с выходом на балкон (13,2) и шикарным видом на исторический центр, кухня (10), гардеробная (13,1), гостевой санузел (15,1).
Мастер-спальня (21,5) с ванной (6,2), гардеробной (6,2) и выходом на застекленный балкон (20).
Спальня 1 (32,4) с ванной (15,1).
Спальня 2 (25,4) с ванной (15,1).
Коридор (10,5), подсобное помещение (1,7).
Во всех с/у - есть окна.
2 уро ..., 14 фото</t>
  </si>
  <si>
    <t>https://www.cian.ru/sale/flat/331946429</t>
  </si>
  <si>
    <t>Код объекта: 1150373.
Продается  видовая квартира в топовой локации!
Подкупает вид из окон с последнего этажа дома, который создает широкий обзор на исторический центр Москвы и знаковые Сталинские высотки, т.к дом находится на пересечении Тверской улицы с Благовещенским переулком.
Функциональная планировка: кухня-гостиная, две изолированные комнаты, два совмещенных санузла, балкон. Перепланировка узаконена. Выполнен высококачественный ремонт с использованием материалов зарубежных производителей. Остается встроенная кухня, укомплектованная бытовой техникой, мягкая мебель, встроенные шкафы. Квартира светлая потому что окна расположены по всему ее периметру, высота окон около 2-х метров, а потолков - 3 м. Над квартирой расположено чердачное помещение.
В подъезде сделан ремонт, установлен новый лифт.  Наземная парковка внутри закрытого двора. В пешей доступности Парк Аквариум, известные театры, прогулочная зона Патриарших прудов, три станции метро Маяковская, Пушкинская, Тверская. Прямой  ..., 15 фото</t>
  </si>
  <si>
    <t>https://www.cian.ru/sale/flat/329528087</t>
  </si>
  <si>
    <t>Предлагаю Вашему вниманию уютную тихую квартиру с продуманной до мелочей планировкой. Две спальни, гостиная-столовая и кухня. Два полных санузла, постирочная, гардеробная. Квартира оборудована всей необходимой техникой ведущих марок, мебель американских и итальянских люксовых брендов! Все окна и балкон квартиры обращены в тихий двор, в котором есть парковочное место! Wi-Fi, домофон, установлена канальная система кондиционирования (в каждой зоне свой климат). Квартира находится в историческом особняке с ЖБ перекрытиями, в "шаге" от Патриаршего пруда!, 12 фото</t>
  </si>
  <si>
    <t>https://www.cian.ru/sale/flat/331511140</t>
  </si>
  <si>
    <t>Ваша уютная двухкомнатная квартира на Патриарших!
Атмосфера старой Москвы!
В пешей доступности: Патриаршие груды, Тверская, Арбат, живописные бульвары, московский зоопарк, планетарий. Рядом с домом находятся: школы, детские сады, клиники и магазины, что делает этот район комфортным для семейного проживания. Изысканные и уютные рестораны, кафе для гастрономических открытий, театры, благоустроенные зоны отдыха. Парковка со шлагбаумом, всегда есть место для вашего автомобиля. Кирпичный дом, чистый подъезд, высокий первый этаж, качественный ремонт с заменой коммуникаций.  Ухоженный двор, приятные соседи.
Оперативные показы.
Звоните, уважаемые коллеги и будущие собственники квартиры!, 22 фото</t>
  </si>
  <si>
    <t>https://www.cian.ru/sale/flat/333064662</t>
  </si>
  <si>
    <t>Уникальная квартира на Патриарших прудах с особой неповторимой атмосферой старой Москвы.
 Расположена в бывшем доходном доме, построенном по заказу купца Субботина в 1907 году. Архитектор — мастер московского модерна Петр Харко.
 Под руководством компании PropertyLab+art квалифицированные специалисты разного профиля провели полную реконструкцию квартиры с укреплением пола и потолка и заменой всех коммуникаций .Планировочное решение разработано архитектурным бюро Ветер веет
 В процессе ремонта стены были полностью очищены от поздних наслоений, в результате чего открылась старая кирпичная кладка. На некоторых кирпичах хорошо видны клейма В. К. Шапошников, М. В. Челноков и Ко, владевшие среди прочего двумя кирпичными заводами. Реставрацией и ручной обработкой кирпичных стен занимались специалисты из Мастерских Братьев немцеВ.
 Дизайнеры по максимуму сохранили оригинальные кирпичные стены и добавили в интерьер лофтовую стилистику. 
 Пол, двери и подоконники выполнены из дерева с ярко выраж ..., 36 фото</t>
  </si>
  <si>
    <t>https://www.cian.ru/sale/flat/334516244</t>
  </si>
  <si>
    <t>Продается уютная 1-но комнатная квартира в ЦАО, район Пресненский, м-н Патриаршие пруды.
Добротный кирпичный дом расположен в глубине Садового кольца. Комфортный 5-ый этаж. Балкон застеклен, окна на большой зеленый двор. Стеклопакеты, пол - паркет, кухня  плитка, входная дверь  железная, санузел совмещён. Квартира в жилом состоянии. Была произведена замена электрики, сантехники, выровнены стены.
В шаговой доступности развитая инфраструктура центра столицы, Планетарий, Патриарший пруд, сад Аквариум, театры Сатиры и Моссовета. 
Уютный зеленый двор с детской и спортивной площадкой с тренажёрами.
Парковка открытая со шлагбаумом. Можно оформить резидентное разрешение.
До метро пешком: Баррикадная/Краснопресненская 10 мин.; Маяковская, Пушкинская/Тверская 12 мин.
Более 10 лет в собственности 1 взрослый собственник. Без обременений, залогов и задолженностей. Полная стоимость в договоре. 
Для просмотра просьба позвонить., 15 фото</t>
  </si>
  <si>
    <t>https://www.cian.ru/sale/flat/332589940</t>
  </si>
  <si>
    <t>Номер объекта: 557873. Светлая квартира с тремя спальнями с отделкой в классическом стиле площадью 125,8 кв.м на 2 этаже. 
Функциональная планировка: Кухня-столовая, гостиная с французским балконом, мастер спальня с ванной комнатой, спальня с гардеробной комнатой, гостевая спальня, кладовая комната, гостевой санузел в прихожей. Квартира меблирована и оборудована бытовой техникой. Окна выходят в тихий, зелёный двор.
Клубный 8-этажный дом на 34 квартиры, построенный в 2006 году, подземный паркинг. Фасад здания покрыт декоративной штукатуркой и мозаикой, облицован гранитом. Придомовая территория закрыта для посторонних и благоустроена. Установлена система видеонаблюдения. Дом круглосуточно охраняется. 
Участник ассоциации AREA, 25 фото</t>
  </si>
  <si>
    <t>https://www.cian.ru/sale/flat/322468426</t>
  </si>
  <si>
    <t>Номер объекта: 539552. Ищете не просто квартиру, а статусное жилье в сердце столицы? 
Продается просторная трехкомнатная квартира на 4 этаже 5-этажного кирпичного, малоквартирного дома ( всего 2 квартиры на этаже) с элитарным характером. Закрытая территория, с наличием 2-х машиномест.  Абсолютная тишина- окна выходят в тихий Московский дворик. Это идеальный баланс классической надежности вторичного жилья и престижного расположения в историческом центре Москвы, где каждый район дышит культурой и историей. Вы получаете не просто недвижимость, а ключ к совершенно иному, респектабельному образу жизни, где важна каждая деталь локации. 
Инфраструктура здесь впечатляет даже искушенных покупателей: в шаговой доступности находятся сразу два театра — прославленная "Геликон-Опера" и легендарный "Театр на Бронной", а также камерное пространство "У Никитских ворот", превращающие каждый вечер в культурное событие. Для интеллектуального развития детей и взрослых рядом расположены Детская музыкальна ..., 27 фото</t>
  </si>
  <si>
    <t>https://www.cian.ru/sale/flat/332186579</t>
  </si>
  <si>
    <t>Москва, Большой Козихинский переулок, 27С2</t>
  </si>
  <si>
    <t>Арт. 139298107 ВАЖНО! Данную квартиру можно купить по ставке по ипотеке 11,9%!
К продаже предлагается большая, теплая, уютная и светлая 
3-х комнатная квартира без ремонта в кирпичном доме 1973 года постройки, расположенном в самом престижном районе Москвы- на Патриарших прудах.
Это предложение для тех- кто ценит возможность создать интерьер, полностью отражающий свой стиль, привычки и образ жизни.
Вам не придется переплачивать за ремонт, вы сразу начнете воплощать в жизнь и строить именно ту квартиру, о которой всегда мечтали.
О ДОМЕ:
Качественны ведомственный дом советской элиты с надежными кирпичными стенами толщиной 85см!!, с комфортной этажностью и атмосферой настоящей Москвы, расположен в тихом уютном дворике. 
В окружении- лучшие рестораны, уютные кофейни, бутики, театры и знаменитые Патриаршие пруды - локация, которая подчеркнет ваш статус, культуру и высокий уровень жизни.
Это  объект не только для жизни, это еще и долгосрочная инвестиция- ценность недвижимости на Патриарших ..., 22 фото</t>
  </si>
  <si>
    <t>https://www.cian.ru/sale/flat/332263786</t>
  </si>
  <si>
    <t>Москва, Гранатный переулок, 12</t>
  </si>
  <si>
    <t>ЭКСКЛЮЗИВ агентства PEOPLE
Представляем Вам роскошные апартаменты в Гранатном переулке.
Дом построен в 1884 году по проекту архитектора М.И.Никифорова.
Доходный дом в Гранатном представляет собой типичный образец эклектики, имитирующий зодчество итальянского Возрождения. Фасад украшен рустовкой, окна второго и третьего этажей обрамляют колонки-пилястры, а кровлю венчает декоративная стенка-аттик с круглым отверстием-глазом.
В 2005 году проведена полная реконструкция с надстройкой, остался только исторический фасад, а здание с 2х-уровневым паркингом  было возведено заново, архитекторы — Александр Асадов, Александр Черниенко, Андрей Асадов, Никита Цымбал, Павел Герасимов.
Сейчас в здании располагается Союз архитекторов России.
Представляем Вашему вниманию ПЕНТХАУС в КЛАССИЧЕСКОМ ИСПОЛНЕНИИ.
Терраса по периметру, панорамное остекление, высота потолков в бетоне до 5 м.
Минимальное количество несущих элементов, что позволяет делать любые перепланировки.
Апартаменты имеют отдельный вход. ..., 40 фото</t>
  </si>
  <si>
    <t>https://www.cian.ru/sale/flat/324468391</t>
  </si>
  <si>
    <t>Великолепное предложение! Чистая продажа!
Один собственник!
В одном из лучших центральных районов Москвы!
Особый мир, наполненный историей, культурой и камерностью.
Именно здесь, на углу у Патриарших продается наша квартира.
Дом с историей! 
Толстые кирпичные стены защищают от морозов и зноя.
Уникальная квартира 90 кв. м. !
Гостиная, это открытое пространство с пятью окнами, которые выходят на разные стороны света, но не переживайте о шуме. 
Окна квартиры выходят во двор, а толстые стены полностью поглощают любые звуки из вне.
В квартире очень тихо и светло!
Большой санузел с ванной джакузи, система хранения вещей, есть мебель и встроенная техника фирмы: " BOSCH" (посудомоечная машина, стиральная машина, варочная поверхность и духовой шкаф,  микроволновка, вытяжка, холодильник, кондиционеры).
Можно заехать и жить.
Можно купить и сразу сдать в аренду, а можно воплотить дизайнерский проект.
Можно перепланировать в 3-х комнатную квартиру.
Квартира настроена на успех, проверено на бывших с ..., 21 фото</t>
  </si>
  <si>
    <t>https://www.cian.ru/sale/flat/319813441</t>
  </si>
  <si>
    <t>Продам отличную 3 комнатную  квартиру в двух минутах пешком от Патриарших прудов. Тихо, чисто, красиво! Общая площадь 85,4 кв.м. Гостиная, кабинет, спальня, кухня,  раздельный с/у. Дом 1910 г. Высокие потолки, лепнина, сделана и узаконена перепланировка, есть возможность присоединить мансарду.  Двор не проездной, детская площадка,  консьерж, закрытая охраняемая парковка. Квартира продаётся с мебелью. "Дом с короной" является историческим украшением и знаменит живущими в нём людьми, московской интеллигенцией. Театры, рестораны, музеи, школы, всё в шаговой доступности., 17 фото</t>
  </si>
  <si>
    <t>https://www.cian.ru/sale/flat/325223955</t>
  </si>
  <si>
    <t>За объект уже внесли аванс
ЗА КВАРТИРУ ВНЕСЕН ЗАДАТОК ДО 15 июля. 
ЖК Волоцкие дома, построен в царскую эпоху в 1910 году для графов Волоцких , по специальному проекту известного архитектора. Дом расположен в престижном районе Патриарших прудов старого центра Москвы, со своей атмосферой и историей. Развитая своя придомовая инфраструктура. Это знаменитый дом на Трехпрудном, в котором проживали и проживают очень известные люди,а также Московская интеллигенция и элита. Въезд во двор под шлагбаум. Охраняемая круглосуточная парковка. Видеонаблюдения. Дом после капитальной ремонта . Приличный подъезд . Лифт . Квартира после Евроремонта в Скандинавском стиле . Очень высокие потолки. Две изолированные комнаты , кухня , большой совмещённый санузел , холл и коридор , кладовка. Продажа с мебелью и техникой. Невероятная энергетика квартиры , тишина и спокойствие. Свободная продажа . Один собственник. Более 5 лет в собственности. Очень выгодное вложение под арендный бизнес, сдается хорошо. Подробне ..., 21 фото</t>
  </si>
  <si>
    <t>https://www.cian.ru/sale/flat/295103950</t>
  </si>
  <si>
    <t>Вашему вниманию предлагается четырехкомнатная квартира в историческом центре Москвы на Малой Бронной улице. 
Дом расположен в 3-х минутах пешком от Патриарших прудов и в 10 минутах от станций метро Тверская/Пушкинская.
Квартира находится на 3 этаже 6-этажного кирпичного дома, построенного в 1914 году.
В доме произведен капитальный ремонт с заменой всех инженерных коммуникаций. Благоустроенная входная группа с лаконичным решением, без избыточного декора. Установлен лифт. На этаже две квартиры. Предусмотрена наземная парковка во дворе.
Окна квартиры ориентированы на две стороны в тихий внутренний двор, что обеспечивает тишину и уют.
В квартире выполнен качественный дизайнерский ремонт с применением натуральных премиальных материалов. Произведена замена всех коммуникаций.
Квартира полностью меблирована и оснащена всей необходимой техникой для комфортного проживания. Интерьер выдержан в классическом стиле.
Общая площадь квартиры составляет 108 кв. м. Планировочным решением предусмотрены: г ..., 26 фото</t>
  </si>
  <si>
    <t>https://www.cian.ru/sale/flat/334698613</t>
  </si>
  <si>
    <t>Эксклюзивная квартира на Малой Бронной | Патриаршие пруды
Продаётся квартира в роскошном историческом доме, на 4-м этаже. Всего три жилых этажа, по две квартиры на каждом. Окна выходят на две стороны.
Планировка: просторная гостиная, отдельная кухня, мастер-спальня с гардеробной, детская, гостевая спальня и два санузла.
В квартире ведётся капитальный ремонт. Установлены деревянные окна, выполнены работы с полами, стенами, потолками и кровлей. Предусмотрена приточно-вытяжная вентиляция во всех помещениях.
Квартира будет передана с полностью завершённым ремонтом, без мебели. Представленные фотографии — визуализации дизайн-проекта. Возможна полная реализация интерьера, как на фото, по индивидуальной договорённости.
Стоимость — 110 млн ₽., 6 фото</t>
  </si>
  <si>
    <t>https://www.cian.ru/sale/flat/335001157</t>
  </si>
  <si>
    <t>Предлагается 2-х комнатная, стильная,  дизайнерская квартира 60м, в историческом доме на Патриках,, с самой большой территорией (парк, парковка, детская площадка).
Кухня - гостиная 28 метров с выходом на балкон - террасу.
Спальня 15 метров с просторный гардеробной, 2 сан.узла,
сантехника Германия. Полная стоимость в договоре, никто не прописан., 21 фото</t>
  </si>
  <si>
    <t>https://www.cian.ru/sale/flat/334974128</t>
  </si>
  <si>
    <t>Дом 23 по Большому Козихинскому переулку, один из немногих в Москве образцов Северного модерна (в Европе этот стиль называют национальным романтизмом). Дом был построен в 1912 году как доходный. Фабрикант Шухаев, владелец обувной фабрики и совладелец магазина на Тверской , заказал его архитектору Хорошевичу, приверженцу стиля Северный модерн, более характерного для Санкт-Петербурга, поэтому дом, скорее , заметное исключение в городском пейзаже Москвы.  Сам стиль не стремится к пышности декора, не перегружает фасад, а деликатно подчёркивает его архитектурные особенности : ассиметрию,  локанизм, сдержанность, функциональность, а внутри - просторную парадную и широкие лестничные пролёты.  Жильцы удачно сохранили и подчеркнули стиль дома ремонтом его внутреннего убранства: светильниками , напольной плиткой и фасадом дверей квартир. 
До революции в нем жили ,в основном ,предприниматели, а после , представители академической науки соседствовали с  композиторами, деятелями театра и кино.
Квар ..., 50 фото</t>
  </si>
  <si>
    <t>https://www.cian.ru/sale/flat/333655156</t>
  </si>
  <si>
    <t>О КВАРТИРЕ:
Предлагается эксклюзивная, ДВУХЭТАЖНАЯ, панорамная квартира в тихом, привелегированном районе Москвы.
Планировочным решением предусмотрены: на 1-ом этаже -  изолированные комнаты, кухня, прихожая, раздельный сан. узел; на 2-ом этаже - большая комната/мастерская (25,4 кв.м.) с большой антресолью. Окна и две большие лоджии выходят на обе стороны дома. Лоджия нижнего этажа и 4 окна верхнего этажа выходят на улицу Малая Никитская и открывают панорамный вид Москвы. Окно кухни и лоджия из спальни выходят в тихий, закрытый двор. Высокие потолки. Общая площадь 100,9 кв.м. - БЕЗ учета огромных лоджий.
Квартира требует ремонта. 
О ДОМЕ:
Знаменитый, фасадный дом кооператива "Кремлевский работник" построен по индивидуальному проекту архитектора А.И.Ефимова. В разные годы в нем проживали такие знаменитости как Валентина Серова, Аркадий Райкин, Юрий Любимов. 
Во дворе дома парковка для жителей дома.
ИНФРАСТРУКТУРА:
Благодаря расположению в историческом центре Москвы, дом окружен особняка ..., 33 фото</t>
  </si>
  <si>
    <t>https://www.cian.ru/sale/flat/331652410</t>
  </si>
  <si>
    <t>Москва, Большой Патриарший переулок, 8С1</t>
  </si>
  <si>
    <t>В самом сердце Патриарших прудов в тихом уютном дворе, предлагаем Вашему вниманию 2-х комнатную квартиру с высокими 3-х метровыми потолками!
Квартира полностью пригодна для проживания, но так же интересна тем, кто планирует ремонт по собственному дизайну. Окна выходят в тихий внутренний двор в котором имеется 1 парковочное место. Входная группа после ремонта, 2 квартиры на этаже. 
1 собсвенник, свободная продажа, полная сумма в договоре., 9 фото</t>
  </si>
  <si>
    <t>https://www.cian.ru/sale/flat/322572339</t>
  </si>
  <si>
    <t>Продаётся четырёхкомнатная квартира в историческом центре Москвы. 
Здание  Волоцкие дома построены 1910 году, район Патриарших прудов. Центр притяжения творческой интеллигенции. Углы здания оформлены в виде полукруглых башен, выходящих в Большой Козихинский и в Трехпрудный переулки.
Проведены работы по озеленению территории, обустроена детская площадка. Для парковки машин организована наземная парковка въезд через шлагбаум, для жильцов дома.
Квартира очень тёплая и уютная, толщина стен создаёт полную шумоизоляцию. Три изолированные спальные комнаты и одна проходная гостинная. Высокие потолки. Санузел раздельный.
Квартира с 1922 года в одной семье.
Удобная транспортная доступность.
Инфраструктура развитая. В шаговой доступности находятся музеи, галерии,  кафе, рестораны, магазины, скверы и парки для прогулок и отдыха. 
Квартира без обремений.
Подробности по телефону., 26 фото</t>
  </si>
  <si>
    <t>https://www.cian.ru/sale/flat/334345854</t>
  </si>
  <si>
    <t>Москва, Ермолаевский переулок, 21</t>
  </si>
  <si>
    <t>Продается просторная и аккуратная квартира на Патриарших прудах в сталинском кирпичном доме с высокими потолками. Окна выходят в тихий двор. Двор огорожен. Комнаты просторные, квадратные. 
Чистый без запахов подъезд. 
Парковка за шлагбаумом во дворе.
Квартира теплая, сухая.
Один взрослый собственник на основании ДКП более 5 лет. Полная стоимость в договоре.
СВОБОДНАЯ ПРОДАЖА!!!, 10 фото</t>
  </si>
  <si>
    <t>https://www.cian.ru/sale/flat/335041549</t>
  </si>
  <si>
    <t>Роскошная 4-комнатная квартира 124 м2 с качественным ремонтам в сердце города!
Редкое предложение в культовом районе Москвы - ваша возможность жить среди истории и современного комфорта.
Почему это идеальный выбор:
- Современный ремонт: дубовый паркет, высокие потолки, дорогая отделка и продуманный дизайн;
- Умная планировка: 3 изолированные спальни (мастер-спальня с собственной ванной), просторная гостиная, укомплектованная кухня;
- Готовая квартира для жизни: остается почти вся мебель и техника;
- Легендарный район Патрики - дух старой Москвы, лучшие рестораны, бутики и салоны;
- Идеальная транспортная доступность: 7 минут до метро Тверская и Маяковская, возможность аренды двух машиномест во внутреннем дворе.
Вы должны лично увидеть эту квартиру! 
Один собственник, альтернатива. 
Звоните - на все вопросы отвечу по телефону!, 33 фото</t>
  </si>
  <si>
    <t>https://www.cian.ru/sale/flat/333584529</t>
  </si>
  <si>
    <t>Продажа дизайнерских бизнес-лотов на Патриарших прудах в историческом здании. Презентабельный фасад, вестибюль здания отделан натуральным камнем.
В советское время в здании была проведена полная реконструкция с заменой перекрытий и инженерии. В здании ж/б перекрытия, лифт.
В вестибюле дизайнерская отделка.
В помещении высокие потолки до 3,8 м, большие окна с виды на историческую часть города.
В лотах выполнена отделка в современном стиле. 
Современная инженерия: вытяжная вентиляция, кондиционирование. 
В непосредственной близости - самые модные и излюбленные места отдыха и прогулок москвичей и гостей столицы - Патриаршие пруды, Тверская улица, Тверской бульвар, Концертный зал им. Чайковского, Булгаковский дом и другие достопримечательности Москвы, а расстояние до Кремля всего 2 км., 6 фото</t>
  </si>
  <si>
    <t>https://www.cian.ru/sale/flat/333155538</t>
  </si>
  <si>
    <t>Продажа дизайнерских студий на Патриарших прудах в историческом здании. Презентабельный фасад, вестибюль здания отделан натуральным камнем.
В советское время в здании была проведена полная реконструкция с заменой перекрытий и инженерии. В здании ж/б перекрытия, лифт.
В вестибюле дизайнерская отделка.
В помещении высокие потолки до 3,8 м, большие окна с виды на историческую часть города.
В лотах выполнена отделка в современном стиле. 
Современная инженерия: вытяжная вентиляция, кондиционирование. 
В непосредственной близости - самые модные и излюбленные места отдыха и прогулок москвичей и гостей столицы - Патриаршие пруды, Тверская улица, Тверской бульвар, Концертный зал им. Чайковского, Булгаковский дом и другие достопримечательности Москвы, а расстояние до Кремля всего 2 км., 6 фото</t>
  </si>
  <si>
    <t>https://www.cian.ru/sale/flat/333155326</t>
  </si>
  <si>
    <t>Собственник!!!!
Уникальная квартира в сердце Патриарших Прудов. - 1,5 уровня. 
Объединенная зона кухни-гостиной с большим панорамным окном и балконом. Совмещенный санузел в мраморе с ванной чашей и просторной душевой. Второй уровень зона спальни, большие гардеробные комнаты, постирочная.
Высокие потолки - 3,8 м. в зоне спальни. 
Итальянская кухня Scavolini, техника Asko, итальянский мрамор на кухне и в с/у, смесители премиальная линия Gessi, диван Baxter, кровать и мебель в спальне Ditre Italia. Пол - натуральный дуб. Много зеркал и уникальных элементов. Винтажный свет! Очень много гардеробных), 13 фото</t>
  </si>
  <si>
    <t>https://www.cian.ru/sale/flat/326673366</t>
  </si>
  <si>
    <t>193266 Роскошный пентхаус на 6 и 7 этажах с видом на Патриаршие пруды
Уникальное предложение!
Пространство спроектировано для комфортной жизни с безупречным вкусом.
На первом уровне (6 этаж) расположена приватная спальная зона. Ее сердце — просторная мастер-спальня с балконом и видом на пруд, собственной гардеробной с окном и полноценной ванной комнатой, где установлены ванна, душевая кабина, два умывальника, унитаз и биде. Вторая спальня также имеет балкон, гардеробную и собственный санузел с душем. Для детей предусмотрены две изолированные спальни, каждая со своей гардеробной и санузлом, а для поддержания идеального порядка — отдельная сезонная гардеробная.
Второй уровень (7 этаж) отведен под репрезентативную общесемейную зону. Здесь вас встретит великолепная гостиная с балконом, с которого открывается панорамный вид на Патриаршие пруды. Элегантная столовая ведет на отдельную кухню, где обустроена удобная сервировочная зона. Важным преимуществом является возможность самостоятельн ..., 4 фото</t>
  </si>
  <si>
    <t>https://www.cian.ru/sale/flat/323616863</t>
  </si>
  <si>
    <t>Предлагаем Вашему вниманию 3 комнатную квартиру  в пешей доступности от "Патриарших прудов".   
Планировка: холл, кухня-гостиная, детская комната,  спальня с большой гардеробной, 2 санузла.   
Окна спален выходят во двор.   
Высота потолков- 2,8 м.   
1 взрослый собственник более 5 лет на основании ДКП.  
Обременений нет.   
Быстрый выход на сделку, 18 фото</t>
  </si>
  <si>
    <t>https://www.cian.ru/sale/flat/317645526</t>
  </si>
  <si>
    <t>Патриаршие пруды, дом 1956 года постройки с Ж/Б перекрытиями. 
Балкон. Окна на 2 стороны. Потолки 3 метра. 
Хороший евроремонт. 
Планировка: кухня-гостиная, спальня с гардеробной, комната свободного назначения, ванная комната, гостевой санузел, прихожая. 
Аккуратный подъезд, лифт. 
Идеальная локация. 
Оперативный показ., 29 фото</t>
  </si>
  <si>
    <t>https://www.cian.ru/sale/flat/329735305</t>
  </si>
  <si>
    <t>Москва, Трехпрудный переулок, 5</t>
  </si>
  <si>
    <t>Лот f39856 Сотрудничаем с коллегами.
К продаже предлагается двухкомнатная квартира со стильным евроремонтом, расположенная на 5 этаже по адресу: Трёхпрудный пер., 5, в Пресненском районе.
Из окон открывается вид на московский дворик.
•   В квартире выполнен евроремонт, подогрев полов. Квартира оснащена бытовой техникой класса премиум (Miele), готова к проживанию.
Планировочные решения:
•   Площадь: 57.1 м²
•   Кухня-гостиная
•   Спальня
•   Санузел с ванной
•   Гардеробная
•   Отдельная комната для хранения
•   Высота потолков — 3,2 м
Дополнительно:
•   Полное юридическое сопровождение
•   Оперативный показ
Локация — Пресненский район, Трёхпрудный переулок
5 минут — пешком до Патриарших прудов
10 минут — пешком до станций метро "Маяковская", "Пушкинская", "Тверская"
15 минут — пешком до Садового кольца и Тверской улицы
20 минут — пешком до Кремля
Свяжитесь с нами
Запишитесь на оперативный просмотр или узнайте больше об этом предложении. Мы также можем провести для вас персонал ..., 16 фото</t>
  </si>
  <si>
    <t>https://www.cian.ru/sale/flat/332480936</t>
  </si>
  <si>
    <t>Лот 59009. Черных Наталья.
Предлагается просторная двухуровневая квартира с камином на Патриарших Прудах. 
Ремонт выполнен в классическом стиле, с использованием дорогостоящих материалов, установлены кондиционеры. 
Функциональная планировка: гостиная со столом для игры в бильярд и домашним кинотеатром, кухня, три спальни, кабинет, три санузла, сауна, гардеробные комнаты. 
Окна выходят во двор. 
Парковка на охраняемой территории. Более пяти лет в собственности, свободная продажа.
Бонус партнерам 50%.
Есть презентации в pdf на русском или английском для партнеров. Член ассоциации агентств элитной недвижимости AREA., 34 фото</t>
  </si>
  <si>
    <t>https://www.cian.ru/sale/flat/334478190</t>
  </si>
  <si>
    <t>ID:18331 Патриаршие пруды. 2-комн. квартира. Просторная гостиная, лоджия 8,5 м!
Продается светлая и уютная квартира в самом сердце Москвы — в престижном районе Патриарших прудов. Идеальное предложение для тех, кто ценит комфорт, безопасность и жизнь в центре культурных событий.
О КВАРТИРЕ:
Площадь: 60 кв.м.(с учетом лоджии) — простор и комфорт.
Планировка: Просторная гостиная (24,6 кв.м.) и уютная спальня (12,1 кв.м.), кухня (7 кв.м.).
Изюминка: Огромная лоджия длиной 8,5 метров — ваше личное пространство для отдыха с видом на город.
Свет: Окна выходят на южную сторону, квартира всегда наполнена солнцем.
Состояние: "Заезжай и живи". Вся мебель остается новым владельцам в подарок!
О ДОМЕ:
Статус: Камерный кирпичный дом 1965 года всего на 35 квартир. Атмосфера добрососедства и приватности.
Комфорт: Чистый, отремонтированный подъезд, надежные лифты Otis.
Безопасность: Видеонаблюдение и домофон.
Парковка: Наземная парковка во дворе для жителей дома.
О ЛОКАЦИИ:
Расположение: Легендарн ..., 18 фото</t>
  </si>
  <si>
    <t>https://www.cian.ru/sale/flat/331334480</t>
  </si>
  <si>
    <t>https://www.cian.ru/sale/flat/333588003</t>
  </si>
  <si>
    <t>Москва, Спиридоньевский переулок, 17</t>
  </si>
  <si>
    <t>Ультрасовременные апартаменты площадью 118,4 м² в клубном доме The Patricks на Патриарших прудах. Дом заселен. Окна расположены на три стороны: в Спиридоньевский переулок, на Булгаковский сквер и в тихий двор. 
Две мастер-спальни с уютными балконами и большими террасами, личными ванными комнатами и гардеробными, и просторная кухня-гостиная с панорамным видом на зеленый сквер Булгакова. Выполнена высококачественная отделка с применением натуральных премиальных материалов. Апартаменты предлагаются с дизайнерской мебелью и декором. Полностью готовы под ключ.
В стоимость апартаментов включен отдельно стоящий гараж с помещением для хранения личных вещей общей площадью 36 м2., 14 фото</t>
  </si>
  <si>
    <t>https://www.cian.ru/sale/flat/331532746</t>
  </si>
  <si>
    <t>Москва, Малая Бронная улица, 20С1</t>
  </si>
  <si>
    <t>Продается квартира на Патриарших прудах состоящая из трех жилых помещений. Квартира 2-х ярусная. 6 этаж 143,2 м2  с лестницей на мансарду 123 м2, с отделкой. На мансарде второе помещение без отделки 222,9 м2. Все оформлено в собственность., 50 фото</t>
  </si>
  <si>
    <t>https://www.cian.ru/sale/flat/287696469</t>
  </si>
  <si>
    <t>Просторная квартира с четырьмя спальнями общей площадью 145 м² в доме напротив Патриаршего пруда. Квартира с отделкой расположена на 2-м этаже. Интерьер — в современном стиле в светлых тонах, часть стен оформлена открытой кирпичной кладкой.Спланирована гостиная с выходом на балкон, кухня, четыре спальни, одна из которых с балконом, две ванные комнаты, гостевой санузел, холл. Квартира полностью меблирована и оборудована бытовой техникой. Окна ориентированы на три стороны, открываются виды на пруд и в тихий уютный двор.
"Большой Патриарший, 8" — 7-этажный дом в самом центре знаменитых Патриарших прудов, напротив пруда. Дом в стиле постконструктивизма построен в начале 1930-х годов для руководящей элиты советского авиапрома. Строгий фасад оформлен в лаконичном светло-сером цвете. В архитектуре использованы прямоугольные эркеры, открытые и застеклённые балконы. Из многих квартир открывается панорамный вид на пруд.Во внутреннем дворе обустроена детская и спортивная площадка. На первом этаже ..., 20 фото</t>
  </si>
  <si>
    <t>https://www.cian.ru/sale/flat/331201195</t>
  </si>
  <si>
    <t>Вашему вниманию представляется светлая комфортная 2-х комнатная квартира в самом центре столицы! Новый ремонт! В квартире тихо- окна выходят во двор! Лаконичный минималистичный дизайн в свтлых тонах. Просторно, потолки 3 метра!
В квартире имеются кодиционер и бойлер, саузел совмещён.
Свободная продажа!
Обременений, ограничений прав, ипотек, маткапитала нет!
Основание права - Договор купли-продажи.
Никто не зарегистрирован.
Один непожилой собственник.
Ключи на руках!
Оперативный показ и выход на сделку. Звоните!, 19 фото</t>
  </si>
  <si>
    <t>https://www.cian.ru/sale/flat/324443944</t>
  </si>
  <si>
    <t>Продаётся квартира в одном из самых престижных малоквартирных домов в районе Патриарших прудов. Успейте!
Кирпичный дом с высотой потолков 3 метра. 
В доме — презентабельная входная группа после ремонта, новые лифты и круглосуточный консьерж. Закрытая придомовая территория с парковкой, въезд осуществляется через ворота с пульта.
Квартира расположена на высоком 3 этаже. Благодаря окнам, выходящим во двор, внутри тихо и спокойно, при этом помещения хорошо освещены.
Дом находится в благоустроенной части района Патриарших прудов, в окружении ресторанов, культурных пространств, исторических достопримечательностей и всей необходимой городской инфраструктуры. До Патриарших прудов — около 2 минут пешком.
Станция метро Маяковская расположена примерно в 10 минутах ходьбы.
Звоните! Ответим на любые вопросы, 6 фото</t>
  </si>
  <si>
    <t>https://www.cian.ru/sale/flat/334288429</t>
  </si>
  <si>
    <t>Просторная квартира площадью 164 м² в клубном доме делюкс-класса "Гранатный, 6" рядом с Патриаршими прудами. Свободная планировка без отделки позволяет реализовать собственный дизайн-проект. Возможно спланировать светлую кухню-гостиную, мастер-спальню со своей гардеробной и ванной комнатой, вторую спальню  со своей гардеробной и санузлом, третью спальню со своим санузлом, холл, гостевой санузел, постирочную. 
Высота потолков 3,7 метра. Панорамные окна с видами в приватный внутренний двор и на город. Дом оснащён системой "умный дом", которая контролирует работу регулируемой приточно-вытяжной вентиляции, трёхуровневой системы очистки воды, системы регулировки температуры и пожарной сигнализации.
Главное о доме. "Гранатный, 6" — камерный дом deluxe-класса, где каждая деталь создаёт атмосферу клубной резиденции. Три корпуса образуют тихий внутренний сад с аллеями и зоной отдыха. Вечером приятно возвращаться в просторное лобби с мрамором и резным деревом, где дежурит консьерж. Квартиры ук ..., 14 фото</t>
  </si>
  <si>
    <t>https://www.cian.ru/sale/flat/334974172</t>
  </si>
  <si>
    <t>Квартира с 3 спальнями площадью 219 м² в клубном доме делюкс-класса "Малая Бронная 15" на 6 этаже. Пространство оформлено в современном стиле по индивидуальному дизайн-проекту. Здесь каждая деталь продумана для вашего комфорта. Стильная мебель, выполненная на заказ, добавляет комнатам тепла и уюта, приглашая расслабиться и отвлечься от бытовых дел. Панорамные окна, ориентированные на 2 стороны света, открывают виды на башни "Москва-Сити", Липовый двор, Дом Правительства и одну из Сталинских высоток.  
Планировка включает гостиную, отдельную кухню, мастер-спальню с гардеробной и ванной комнатой с окном, 2 изолированные спальни, 2 гардеробные, 2 санузла, постирочную-душевую и холл. Высота потолков — 3,4 метра. На этаже всего 2 квартиры, что обеспечивает приватность и тишину. Дополнительно можно приобрести 2 машино-места.
Главное о доме. "Малая Бронная 15" — клубный дом делюкс в стиле неоклассики. Семь этажей, двадцать три квартиры и уникальный пентхаус с террасами. Высокие потолки до т ..., 26 фото</t>
  </si>
  <si>
    <t>https://www.cian.ru/sale/flat/325790081</t>
  </si>
  <si>
    <t>Предлагается к продаже элегантная 3-комнатная квартира площадью 97 м² в одном из самых камерных и востребованных переулков исторического центра Москвы — Большом Палашевском.
Квартира расположена на 3 этаже 5-этажного кирпичного дома, построенного по индивидуальному проекту архитектора А. Н. Кардо-Сысоева. Дом сохранил характер исторической московской архитектуры — высокие потолки, основательные стены и выразительную архитектуру.
Интерьер квартиры выполнен по дизайнерскому проекту с особым вниманием к пропорциям, деталям и качеству исполнения. В отделке использованы высококачественные материалы, благородные фактуры и современные решения, создающие цельное, эстетичное и комфортное пространство.
Продуманная планировка позволяет гармонично разделить квартиру на приватную и общую зоны. Просторная гостиная подходит для встреч и отдыха, отдельные комнаты обеспечивают необходимый уровень приватности, а функциональные решения делают пространство удобным для повседневной жизни.
Главное преим ..., 6 фото</t>
  </si>
  <si>
    <t>https://www.cian.ru/sale/flat/333788380</t>
  </si>
  <si>
    <t>ID объявления: 600745 Предлагается к продаже уникальный двухуровневый пентхаус общей площадью 249,8 м² в престижном районе Пресненский. Это не просто квартира, а объект коллекционного уровня в одном из самых знаковых мест столицы — в пешей доступности от Патриарших прудов.
Дом, построенный в 1914 году по индивидуальному проекту, обладает неуловимой атмосферой старой Москвы и относится к категории исторических зданий. Статус дома гарантирует высокий уровень приватности и камерности, недоступный в современных многоэтажных комплексах. Расположение обеспечивает вам жизнь в эпицентре культурной и деловой жизни: в шаговой доступности находятся лучшие рестораны, бутики, галереи, музеи, а также три станции метро — "Тверская", "Маяковская" и "Баррикадная".
Пентхаус имеет функциональную двухуровневую планировку, которая позволяет организовать пространство с максимальным комфортом:
Первый уровень: просторная гостиная, совмещенная с кухней и зоной столовой, комната отдыха с действующим камином, ..., 22 фото</t>
  </si>
  <si>
    <t>https://www.cian.ru/sale/flat/333023041</t>
  </si>
  <si>
    <t>id:2131. 
Продажа 4-комнатной квартиры под отделку Клубный дом deluxe-класса "Гранатный, 6" - Патриаршие пруды
- Планировка
Просторная и функциональная квартира под отделку включает:
большую кухню-столовую-гостиную - единое пространство для семьи и приёма гостей;
мастер-спальню с гардеробной и собственной ванной комнатой;
спальню с собственной ванной и гардеробной;
кабинет / гостевую спальню с собственным санузлом;
отдельную постирочную;
просторную прихожую.
Жильё оснащено интеллектуальной системой "Умный дом", которая незаметно заботится о каждом жителе:
климат-контроль в каждой зоне;
чистейшая трехуровневая система очистки воды;
регулируемая приточная вентиляция;
многоуровневая безопасность.
- Архитектура
Автор проекта - Сергей Чобан;
современная эстетика в сочетании с благородной классикой;
изысканная каменная отделка фасадов.
Двор и сервис
закрытый внутренний двор-сад - атмосфера загородного имения в центре Москвы;
детская комната;
гостиная с каминным залом и библиотекой; ..., 11 фото</t>
  </si>
  <si>
    <t>https://www.cian.ru/sale/flat/334703018</t>
  </si>
  <si>
    <t>Лот: 59005.   Эксклюзив. 
Предлагается четырехкомнатная квартира с качественным ремонтом в классическом стиле площадью 147 кв.м. в клубном доме "Малая Бронная, 25". 
Планировка: гостиная, объединенная с кухней и зоной столовой, спальня с гардеробной и санузлом, спальня с санузлом, кабинет, гардеробная, гостевой санузел, постирочная, два балкона. 
Высота потолка - 3 м. Из окон открываются замечательные виды на Патриаршие пруды. Охраняемая территория. Подземный паркинг. 
Клубный дом на 15 квартир.  ЖК "Малая Бронная 25" находится в центре культурной и модной жизни столицы. Инфраструктура района очень богатая: школа с углубленным изучением отдельных предметов с дошкольным отделением, школа им. Мигеля Эрнандеса, театры имени Пушкина, на Малой Бронной, Моссовета, Сатиры, Театр.Doc. Рядом сад Булгакова и аллея Шехтеля, все лидеры рейтингов ресторанов и баров, премиальные бутики, фитнес-клубы с современным оборудованием. Патриаршие пруды это популярное место для прогулок, атмосфера узких п ..., 14 фото</t>
  </si>
  <si>
    <t>https://www.cian.ru/sale/flat/327903459</t>
  </si>
  <si>
    <t>Объект актуален! Продается со всей мебелью.Звоните с 18:00 до 24:00. Если не проходит звонок, пишите. We speak English. Собственник. Дизайнерская квартира 80 кв.м на Патриарших прудах (Ермолаевский переулок)Прямая продажа от единственного собственника. В собственности с 2008 года (договор купли-продажи), юридически абсолютно чистая история, один взрослый собственник, полная стоимость в договоре. Свободная продажа, быстрый выход на сделку.Квартира полностью готова к проживанию или сдаче в аренду — абсолютно новый дизайнерский ремонт (вам не придется тратить миллионы рублей и месяцы жизни на строительные работы).Планировка и особенности пространства:Площадь: Общая площадь по документам БТИ — 74,5 кв.м. Фактическая площадь квартиры — 80 кв.м за счет снесенных не несущих стен и отделенного тамбура на 2 квартиры, перед входом (служит дополнительной зоной безопасности с надежной дверью).Вид и атмосфера: Просторная, светлая кухня-гостиная с выходом на балкон, откуда открывается панорамный вид ..., 40 фото</t>
  </si>
  <si>
    <t>https://www.cian.ru/sale/flat/334854477</t>
  </si>
  <si>
    <t>Продается 3-комнатная квартира с панорамными видами на город в кирпичном доме на Большой Бронной улице в районе Бульварного кольца и Патриарших прудов. Новый современный дизайнерский ремонт с использованием качественных европейских натуральных материалов. Полная комплектация мебелью, бытовой техникой и пр. Кондиционеры, теплые полы, паркет, плитка. Квартира полностью оборудована новой современной дизайнерской мебелью (встроенная кухня, двуспальная кровать, встроенные шкафы, столы, пр.) и оборудована современной бытовой техникой ведущих производителей (кондиционеры, посудомоечная машина, холодильная и морозильная камеры, плита, вытяжка, чайник, стиральная машина, сушильная машина, холодильная камера, морозильная камера, ЖК ТВ, провайдер Акадо, Wi-fi, пр.). Все для комфортного проживания. Функциональная планировка: общая площадь 96 кв.м., гостиная, кухня, две спальни, санузлы, ванная комната с панорамным видом и душевой комнатой, гардеробные комнаты.  Окна выходят на 2 стороны. Огороженн ..., 21 фото</t>
  </si>
  <si>
    <t>https://www.cian.ru/sale/flat/335035330</t>
  </si>
  <si>
    <t>Оперативный показ! Ключи на руках!
ЖК "Дом с Атлантами"
Проект реставрации объекта культурного наследия Дом с Атлантами. 
Камерный клубный дом.
Бывший доходный дом, возведенный по проекту архитектора В.Н. Карнеева, преобразованный в комплекс роскошных квартир класса de Luxe.
2 спальни с собственными ванными комнатами и гардеробными, 3 санузла и большая кухня-гостиная. Высота потолков: 4.5 м
Видовые окна с балкона и спален открывают прекрасные виды на Москву.
Продумано пространство до мелочей, сочетающее исторический облик здания с современными требованиями к комфорту.
В зоне 10-минутной пешей доступности расположены: парк "Зарядье", кинотеатр Иллюзион, университет ГУ-ВШЭ, ст.м. Китай-город, Котельническая набережная, школы и детские сады, Кремль, Гостиный двор, ГУМ, ЦУМ, большое количество ресторанов и интересных выставочных пространств.
Один взрослый собственник, без обременений. Сделка возможна в короткие сроки, полное юридическое сопровождение.
541700, 30 фото</t>
  </si>
  <si>
    <t>https://www.cian.ru/sale/flat/331429971</t>
  </si>
  <si>
    <t>Клубный дом Дом с Атлантами.
Уникальная резиденция в отреставрированном памятнике архитектуры — бывшем доходном доме, построенном по проекту архитектора В. Н. Карнеева. Историческое наследие здесь гармонично сочетается с современным уровнем комфорта и инженерии.
Квартира площадью 106,8 м²
просторная кухня-гостиная;
две мастер-спальни с собственными ванными комнатами и гардеробными;
три санузла;
высота потолков — 4,5 метра.
Из панорамных окон и с балкона открываются живописные виды на исторический центр Москвы.
Каждая деталь пространства продумана для комфортной жизни: благородная архитектура, высокие потолки, функциональная планировка и атмосфера камерного дома класса de luxe.
Локация
Дом расположен в самом сердце Москвы. В пешей доступности — парк Зарядье, Кремль, ГУМ, ЦУМ, Гостиный Двор, Котельническая набережная, кинотеатр Иллюзион, НИУ ВШЭ, станция метро Китай-город, лучшие рестораны, галереи, школы и детские сады., 26 фото</t>
  </si>
  <si>
    <t>https://www.cian.ru/sale/flat/332422507</t>
  </si>
  <si>
    <t>Москва, улица Маросейка, 11/4С1</t>
  </si>
  <si>
    <t>Лот: 101269. В продаже стильная двухуровневая резиденция с отдельным входом в клубном комплексе "Палаты Нарышкиных" на Маросейке. Уникальный особняк с очень бережной, тщательно проведённой реставрацией/реконструкцией и сохранением подлинного облика дома начала 18 века.
Планировка:
1 уровень: гостиная со вторым светом и зоной кухни, гостевой санузел с постирочной зоной.
2 уровень: 2 спальни, библиотека, ванная комната.
Высота потолка  до 8.5 м.
Пространство оформлено в современном стиле, апартамент меблирован и оснащен качественной бытовой техникой Neff, Liebherr и сантехникой Hansgrohe, Duravit, Kaldewei. Мебельные гарнитуры (шкафы в прихожей, спальне) изготовлены по авторским эскизам из натурального шпона дуба с покраской, освещение ALEDO, DELTA-LUGHT, FLOS, DARK.
Установлено современное инженерное оборудование: система кондиционирования Electrolux, вентиляция Soler&amp;Palau, фильтры тонкой очистки воды SYR, измельчители отходов BONE CRUSH- ER, энергоэффективные диодные лампы, дубовые ..., 24 фото</t>
  </si>
  <si>
    <t>https://www.cian.ru/sale/flat/331959129</t>
  </si>
  <si>
    <t>Лот: 106773. В продаже уникальная двухуровневая квартира с дизайнерской отделкой в самом сердце исторической Москвы — в Петроверигском переулке, в пешей доступности от метро "Китай-город". Это редкий формат единственной квартиры в особняке, расположенной внутри тихого приватного двора, где ощущение уединения и тишины сочетается с жизнью в центре столицы.
Интерьер выполнен в спокойной современной эстетике с использованием премиальных натуральных материалов и продуман до деталей для комфортной городской жизни. Пространство ощущается лёгким и воздушным благодаря высоким потолкам, большим окнам и грамотному световому сценарию. Жилая среда выстроена так, чтобы каждая зона имела свой характер: от уютной кухни-гостиной до приватных спален с ванными и гардеробными, создающих ощущение полноценной резиденции.
Планировка:
- просторная кухня-гостиная
- 2 мастер-спальни с собственными ванными комнатами и гардеробными
- хозяйственные помещения
- небольшая приватная терраса
Кухня полностью оборудо ..., 21 фото</t>
  </si>
  <si>
    <t>https://www.cian.ru/sale/flat/330546211</t>
  </si>
  <si>
    <t>старый фонд</t>
  </si>
  <si>
    <t>Эксклюзив!
Уникальная видовая квартира в самом центре старой Москвы для истинных ценителей подлинности. 
Безупречный стиль перекликается здесь с историей, функциональность и комфорт - с уютом и неповторимой атмосферой. Высоченные потолки (около 4 метров), окна с видами, от которых захватывает дух, а интерьер сам по себе уже является произведением искусства. Тут особенный воздух, особенное неповторимое звучание пространства. 
Локация, где в шаговой доступности - все главные музеи, театры, галереи, бары, рестораны, не говоря уже о станциях метро ( 5 минут неспешным шагом до м. Китай-город, 10 - до Чистых Прудов). Именно здесь начинается старая Москва. 
Очарование малоэтажной застройки и конкретно этого дома: вы живёте в самом центре, но соседей у вас при этом практически нет.
Прямая продажа, два взрослых (не пожилых!) собственника. Документы готовы к сделкее., 15 фото</t>
  </si>
  <si>
    <t>https://www.cian.ru/sale/flat/333503535</t>
  </si>
  <si>
    <t>Москва, Хохловский переулок, 10С7</t>
  </si>
  <si>
    <t>Id 50975. Продаём уютную, светлую квартиру в кирпичном доме, расположенном в историческом центре Москвы. Из окон открывается вид на тихий, зеленый двор и архитектурные достопримечательности. Фактически квартира базируется над коммерческим помещением, что хорошо видно с обратной стороны здания, убирая фактор холодного пола. Дом находится в стороне от улиц с оживленным движением, в окружении деревьев, обеспечивая своим жильцам возможность насладиться тишиной и прохладой, даже в самый знойный день. Мебель и техника остается, что позволит заселиться и проживать сразу после оформления документов. Вся необходимая инфраструктура расположена в шаговой доступности: детские и спортивные площадки, многочисленные кафе, рестораны, бары, магазины, салоны красоты, стоматологии,  и прочие предприятия торговли и обслуживания.
Отдельно стоит отметить, безграничные возможности совершить приятную прогулку. Куда бы не свернули выйдя из дома, Вас обволакивает приятная архитектура малоэтажной Москвы, а такж ..., 30 фото</t>
  </si>
  <si>
    <t>https://www.cian.ru/sale/flat/314331391</t>
  </si>
  <si>
    <t>Эксклюзив АН "Nika Estate" ! Современный дом класса "de luxe"  - Клубные резиденции  "Маросейка, 11"! 
Уникальное предложение в пешей доступности от Кремля!  Двухуровневая квартира 127,7 м.кв  в историческом особняке "Палаты Нарышкина". Реконструкция (современный жилой дом) окончена в 2021 году.
Невероятная высота потолков от  4,8- 7,7 метров!
Оригинальное планировочное решение: 1 этаж- просторная прихожая с окном , большая гостиная с зонной кухни, мастер- спальня, просторная ванная комната с ванной и душевой кабиной. 
2 этаж- вторая спальня/кабинет/зона отдыха. 
Квартира  полностью укомплектована  бытовой техникой и сантехникой  премиального уровня, современной мебелью и декором. 
Проект реставрации "Палаты Нарышкина" гармонично сочетает элементы исторических пространств в подлинном кирпиче 17- 18 вв, современный  лаконичный стиль минимализма и наполнение дома современнейшей инженерией. Установлены панорамные лифты. 
В клубном доме "Палаты Нарышкина" - 29 квартир и 4 апартамента. Т ..., 27 фото</t>
  </si>
  <si>
    <t>https://www.cian.ru/sale/flat/334347954</t>
  </si>
  <si>
    <t>Лот 169853.  Эксклюзив Vesco Realty. ЖК "Дом с Атлантами" - Новая двухуровневая резиденция 231 кв.м с собственным патио в клубном доме deluxe класса в сердце Китай-города. Современный авторский интерьер в светлых тонах с акцентами на натуральные материалы. 
Особенности резиденции, делающие ее уникальным лотом на рынке элитной недвижимости Москвы:
- Отдельный вход со стороны внутреннего двора.
- Приватное патио 40,5 кв.м, скрытое от посторонних глаз. Это дополнительное уединенное, благоустроенное пространство для отдыха на улице. 
- Высокие потолки со сводами Монье в гостиной (4,3 м).
- Две светлые спальни с панорамными окнами и потолками 3,4 м. Каждая - с выходом на улицу в патио, а также с собственными гардеробными и ванными комнатами.
Все картины и панно в интерьере - являются экспонатами галереи современного искусства и могут быть выкуплены будущим собственником или заменены на арт-объекты из собственной коллекции.
ПЛАНИРОВКА
1 уровень: Прихожая с функциональной гардеробной (10 ..., 29 фото</t>
  </si>
  <si>
    <t>https://www.cian.ru/sale/flat/328744011</t>
  </si>
  <si>
    <t>Москва, Покровский бульвар, 8С2</t>
  </si>
  <si>
    <t>Продается уютная двухкомнатная квартира с ремонтом в центре Москвы.   
Планировка:  
- 2 спальни  
- просторная кухня  
- с/у совмещённый   
Квартира оборудована мебелью и всей необходимой бытовой техникой.  
Достаточное количество мест для хранения.   
- стиральная машина LG.  
- посудомоечная машина Weisgauff.  
- электрическая плита Ricci.  
- духовой шкаф Novex.  
- холодильник Hansa.  
- три  кондиционера.  
Новые стеклопакеты  
На полу - паркетная доска.  
Тёплые полы на кухне и в ванной комнате.  
Отличная шумоизоляция.  
Высота потолков - 3 м.  
Тёплый кирпичный дом с толстыми стенами.  
Квартира очень тёплая и светлая.  
Окна выходят в тихий зелёный двор.  
Дом соседствует с Милютинским садом оборудованным детскими площадками, спортивными тренажёрами и прогулочными дорожками.  
Чистый, ухоженный подъезд.  
Лифта нет.   
Закрытая территория.  
Всегда есть места для парковки.  
Свободная продажа.  
Обременений нет., 22 фото</t>
  </si>
  <si>
    <t>https://www.cian.ru/sale/flat/330531905</t>
  </si>
  <si>
    <t>Москва, Покровский бульвар, 4/17С7</t>
  </si>
  <si>
    <t>Id 391849. Продается 3-к. квартира 90 м² с потолками 3.3 м внутри Бульварного кольца.
Это лучшее предложение на рынке недвижимости по цене и условиям сделки!
Исторический малоквартирный дом, ж/б перекрытия, закрытый двор и бесплатная парковка в ЦАО.Объект расположен на верхнем этаже 4-этажного кирпичного дома в легендарном Басманном районе. Это бывший доходный дом с монументальными кирпичными стенами, отличной звукоизоляцией и железобетонными (ж/б) перекрытиями. Идеальный выбор для ценителей старинной архитектуры, тишины и приватности в самом сердце столицы.
 Главные достоинства квартиры:
Потолки 3.3 метра. 
Огромный объем, много воздуха и ощущение дворцового пространства.10 окон во двор: Уникальная инсоляция! Квартира невероятно светлая, при этом все до единого окна выходят в тихий закрытый двор. Полная изоляция от шума, пыли и суеты Бульварного кольца.
Пространство: Большая жилая площадь и просторная по меркам исторического центра кухня, где легко обустроить семейную обеденную зону.  ..., 16 фото</t>
  </si>
  <si>
    <t>https://www.cian.ru/sale/flat/333748799</t>
  </si>
  <si>
    <t>Просторная квартира 3-комнатная квартира в клубном доме на Покровском бульваре, который по праву считается одним из самых красивых бульваров Москвы.
Проект идеально подойдет для проживания семьей.
Представьте свою жизнь в окружении тихих бульваров, старинных усадеб. В шаговой доступности: Чистые пруды, вся развлекательная и образовательная инфраструктура центра (музеи, школы, мед.центры,магазины, рестораны, галереи, высшие учебные заведения)
Общая площадь квартиры 129 м2
Ремонт выполнен по индивидуальному дизайн-проекту.
Функциональной планировкой предусмотрено:
- Просторная кухня-гостиная 58 м2;
- Мастер-спальня с собственной гардеробной , с/у и лоджией;
- Комната под кабинет или  дополнительную спальню;
- Гостевой с/у.
- Зона постирочной
- Отдельная рабочая зона
Квартира полностью меблирована торговым домом Dantone Home и укомплектована всей необходимой техникой от мировых производителей Bosch, Asko.
В квартире полностью завершен ремонт, сейчас этап сборки мебели.
При отделке исп ..., 7 фото</t>
  </si>
  <si>
    <t>https://www.cian.ru/sale/flat/334665563</t>
  </si>
  <si>
    <t>Продается 3-комнатная квартира в клубном доме на Покровском бульваре, который по праву считается одним из самых красивых бульваров Москвы.
Проект идеально подойдет для проживания семьей.
Представьте: вы выходите из подъезда, а перед вами - тихий бульвар, старинные усадьбы, Чистые пруды и в шаговой доступности вся развлекательная и образовательная инфраструктура центра. Ваше утро может начинаться с чашки кофе в ближайшей кофейне, днем - прогулка по бульвару, а вечером - театр, ужин в ресторане или посещение музеев и галерей.
Общая площадь квартиры 110 м2
Ремонт выполнен по индивидуальному дизайн-проекту.
Функциональной планировкой предусмотрено:
- Просторная кухня-гостиная 33 м2;
- Большая лоджия
- Мастер-спальня с собственной гардеробной , с/у и лоджией;
-  2-я спальня или гостевая, со своей гардеробной
-  С/у с ванной
- Гостевой с/у с зоной постирочной
Квартира полностью меблирована торговым домом Dantone Home и укомплектована всей необходимой техникой от мировых производителей Bosch ..., 12 фото</t>
  </si>
  <si>
    <t>https://www.cian.ru/sale/flat/334532701</t>
  </si>
  <si>
    <t>Шестикомнатная квартира площадью 137 м2 расположена в историческом центре Москвы, в самой тихой и живописной локации Чистых Прудов и Китай-города.
Планировкой предусмотрены: 4 спальни, гостиная, столовая, кухня, 2 санузла, постирочная.
В квартире много света. 
Высота окон - 2,3 метра.
Высота потолков - 3.4 метра.
Перекрытия железобетонные.
В квартире нет несущих стен, что открывает дополнительные возможности для реорганизации пространства квартиры.
Старинный московский дом 1890 года, толстые кирпичные стены,  высокие потолки и окна с видом на тихую улицу, сад и Храм князя Владимира в Старых Садах.
Квартира в самом центре Москвы для тех, кто ищет не просто большую квартиру, а настоящую резиденцию с историей., 14 фото</t>
  </si>
  <si>
    <t>https://www.cian.ru/sale/flat/334520517</t>
  </si>
  <si>
    <t>Москва, Колпачный переулок, 6С4</t>
  </si>
  <si>
    <t>Жить в центре Москвы, где история — часть повседневности.
Представьте: вы выходите из дома, и через 5 минут неспешным шагом — Чистые пруды. Ещё 15 минут — и вы на Красной площади или в парке Зарядье. Вокруг — старинные церкви, соборы и особняки. Это не туристический маршрут. Это ваш район.
4 комнаты с продуманной планировкой: 18,1 + 20 + 11,3 + 11,9 м².
Потолки 3 метра — воздух и ощущение свободы.
Окна выходят на памятники архитектуры — "Дом Долгоруковых"
Качественный ремонт: итальянская кухня, двери из массива дерева, встроенная техника.
Можно заезжать и жить — всё готово для комфорта.
В пределах Бульварного кольца — настоящий центр.
5 минут до Чистых прудов, 15 — до Красной площади и Зарядья.
Хорошая транспортная доступность.
Тихий, зелёный район с развитой инфраструктурой: магазины, кафе, школы, детские сады, поликлиники — всё в шаговой доступности.
Один собственник.
Без обременений. Помощь в одобрении ипотеки., 21 фото</t>
  </si>
  <si>
    <t>https://www.cian.ru/sale/flat/334549223</t>
  </si>
  <si>
    <t>Лот: 31706.   На продажу предлагается светлая шестикомнатная квартира площадью 140 кв.м. в дореволюционном здании в историческом центре Москвы. 
Функциональная планировка: просторная гостиная, кухня, столовая, четыре спальни, гардеробная, два совмещенных санузла, раздельный санузел, прихожая. 
Высота потолков - 3,4 м. Окна на две стороны света. Из окон спален открывается потрясающий вид на церковь и сад. 
Чистый, ухоженный подъезд. Широкие лестницы. 
Наземный паркинг во дворе за шлагбаумом. 
Удобная транспортная доступность и развитая инфраструктура района. 
Участник ассоциации AREA., 22 фото</t>
  </si>
  <si>
    <t>https://www.cian.ru/sale/flat/334417883</t>
  </si>
  <si>
    <t>Продается просторная 5-комнатная квартира площадью 132 кв. м в историческом центре Москвы, в шаговой доступности от метро "Китай-город". Квартира расположена на 3 этаже 6-этажного дома, построенного в 1893 году. Высокие потолки 3.6 метра создают ощущение простора и света. Из окон открывается вид во двор, что обеспечивает тишину и уют.
Квартира с дизайнерским ремонтом, который был выполнен с использованием качественных материалов. Удобная планировка включает в себя 5 комнат, просторную кухню площадью 12 кв. м, а также два совмещенных санузла. В квартире есть вся необходимая мебель и техника, что позволяет сразу же заехать и жить без дополнительных затрат.
Дом находится в отличном состоянии, с недавним капитальным ремонтом. На территории предусмотрена наземная парковка, поэтому можно легко найти место для автомобиля. В доме установлен пассажирский лифт, что делает подъём на этаж комфортным.
Вокруг дома развита инфраструктура: рядом есть школы, детские сады, клиники и магазины. Удобное ..., 17 фото</t>
  </si>
  <si>
    <t>https://www.cian.ru/sale/flat/332858540</t>
  </si>
  <si>
    <t>Москва, Петроверигский переулок, 3С1</t>
  </si>
  <si>
    <t>Свободная продажа, 2 взрослых собственника (договор купли-продажи 2019 года). Квартира без обременений, быстрый выход на сделку. Юридически и физически свободна.
Трехкомнатная квартира, Москва, Петроверигский пер., дом 3, строение 1, этаж 2.
Общая 86,2 кв.м. кухня 11,5 кв.м., три изолированные комнаты 21,6 кв.м., 17,2 кв.м. и 18,2 кв.м. Раздельный сан. узел, высокие потолки. Чистый подъезд, закрытый двор.
Супер локация, исторический центр Москвы. До Кремля 20 минут пешком. Дом стоит в дали от шумных дорог. Вся социальная инфраструктура в шаговой доступности., 24 фото</t>
  </si>
  <si>
    <t>https://www.cian.ru/sale/flat/330243352</t>
  </si>
  <si>
    <t>Чкаловская</t>
  </si>
  <si>
    <t>Москва, Покровский бульвар, 5</t>
  </si>
  <si>
    <t>Панельный</t>
  </si>
  <si>
    <t>Номер объекта: 539622.      Уникальное предложение в историческом центре Москвы недалеко от Покровских Ворот.
Уютные апартаменты в "Резиденция на Покровском бульваре" — элитный апарт-комплекс премиум-класса от Группы компании Эталон.
      Респектабельное здание 2019 года постройки, спроектированное в стиле модерн, располагается напротив Милютинского сада. В здании всего 45 апартаментов! Служба охраны и видеонаблюдение обеспечивают комфорт и безопасность жителей. Есть подземный паркинг и приватный двор с профессиональным ландшафтным дизайном.
      Это идеальное место для тех, кто ценит комфорт, безопасность и удобство городской жизни. Здесь вы сможете наслаждаться жизнью и пользоваться всеми преимуществами развитой городской инфраструктуры.
      В апартаментах выполнен дизайнерский ремонт с использование качественных материалов, интерьер вызывает восторг и удивление при первом знакомстве. Есть все для комфортного проживания, две изолированные комнаты и гостиная с зоной кухни, гардеро ..., 26 фото</t>
  </si>
  <si>
    <t>https://www.cian.ru/sale/flat/335037140</t>
  </si>
  <si>
    <t>Лубянка</t>
  </si>
  <si>
    <t>Арт. 144851460 Квартиру можно приобрести по ставке от 11%!
Продается уютная студия в историческом центре Москвы
До Красной Площади около 10 мин пешком.
Редкий формат собственного пространства в историческом центре Москвы: отдельная зона проживания с дизайнерским ремонтом, мебелью и техникой., при этом окно выходит в тихий двор, а не на шумную улицу. 
Высокие потолки визуально добавляют объема и делают помещение более просторным. 
Студия полностью готова к проживанию или сдаче в аренду. 
Год назад сделан свежий ремонт: все чисто, аккуратно, без необходимости срочных вложений. Мебель простая, но новая и функциональная. Можно сразу заехать самому или начать сдавать.
Преимущества объекта:
Прописка в центре Москвы
Исторический центр Москвы
Маросейка - одна из самых востребованных локаций ЦАО
Высокие потолки 3,7 м
Окна в тихий двор
Дизайнерский ремонт
Полностью меблировано
Не требует дополнительных вложений
пешая доступность до метро Китай-город; рядом Чистые пруды, Лубянка, Зарядье, Красн ..., 14 фото</t>
  </si>
  <si>
    <t>https://www.cian.ru/sale/flat/334154967</t>
  </si>
  <si>
    <t>Москва, Подколокольный переулок, 6С3</t>
  </si>
  <si>
    <t>Вашему вниманию предлагается трехкомнатная квартира, первый этаж по дому, из квартиры прохожих не видно, высокий первый этаж, бельетаж с окнами внизу. Сделан качественный ремонт, декоративная штукатурка в холле и кухне, обои на стенах в комнатах, на полу паркет, в санузлах плитка с подогревом. Все комнаты изолированные. Окна пластиковые, комната гостиной и спальни выходят в переулок, окна спальни и кухни выходит в тихий двор. Кухня встроенная, вся необходимая техника, СМА, ПММ, в каждой комнате кондиционер, фильтр для воды. Мебель импортная (по запросу можем отдать или вывезти). Два санузла (джакузи, душ). Гардероб, кладовая. Лифт, подъезд после ремонта, консьерж. Во дворе охраняемая парковка. Въезд через автоматические ворота. Тихое и спокойное место, напротив стоит церковь Рождества Богородицы. До метро Китай город 5 минут пешком. Рядом с домом река Яуза, набережная Москва-реки! Квартира в собственности больше 10 лет, полная стоимость, быстрый выход на сделку.
Арт. 56896152, 29 фото</t>
  </si>
  <si>
    <t>https://www.cian.ru/sale/flat/330542523</t>
  </si>
  <si>
    <t>Уважаемые Покупатели! Вашему вниманию предлагается квартира в пешей доступности от метро Китай Город. Квартира после ремонта. Все комнаты изолированные, гостиная, две спальни. Действующий камин, топится на дровах. Большой застекленный балкон, выходит во двор. Окна пластиковые, выходят на две стороны. Кухня со всей необходимой техникой, СМА, ПММ, в каждой комнате кондиционер, фильтр для воды. Гардеробная. Два санузла (джакузи, душ и сауна). Постирочная. Лифт, подъезд после ремонта. Перекрытия железобетонные. Во дворе охраняемая парковка. Въезд через автоматические ворота. Собственник один, ДКП 20 лет. без обременений. 
Арт. 85931660, 35 фото</t>
  </si>
  <si>
    <t>https://www.cian.ru/sale/flat/330961066</t>
  </si>
  <si>
    <t>Лот: 117486.   На продажу предлагается светлая трехкомнатная квартира, площадью 106,8 кв.м., в клубном "Доме с Атлантами". Проект реставрации исторического особняка. 
Планировка: гостиная, кухня-столовая, две спальни с гардеробными и санузлами, гардеробная, гостевой санузел, постирочная, прихожая, балкон. 
Высота потолков - 4,5 м. Из окон открываются прекрасные виды на город. 
Все резиденты клубного "Дома с Атлантами" смогут пользоваться всеми преимуществами круглосуточного консьерж-сервиса: выгул собак, доставка почты, доставка и отправка химчистки, бронирование билетов и ресторанов, устранение технических неисправностей, заблаговременная доставка автомобиля из паркинга, зарядка электрокаров. Элитный комплекс "Дом с Атлантами" расположен в самом сердце Москвы всего в 15 минутах ходьбы от парка "Зарядье" и Красной Площади. В пешей доступности: ЦУМ, ГУМ, Никольская Плаза, X-Fit и World Class.
Участник ассоциации AREA., 14 фото</t>
  </si>
  <si>
    <t>https://www.cian.ru/sale/flat/332586242</t>
  </si>
  <si>
    <t>До Красной площади - около 15 минут пешком. Машина для повседневной жизни здесь практически не нужна. Сделка нотариальная.
Mаросейка - тот случай, когда покупают не только квадратные метры, но и возможность жить в одном из лучших мест исторической Москвы.
Редкое предложение для центра Москвы: уютная студия в историческом доме на Маросейке, 13с3, в нескольких минутах от Китай-города и самого сердца столицы.
Здесь действительно можно жить в центре событий и при этом отдыхать от городского шума. Студия расположена на комфортном втором этаже, окна выходят во внутренний двор. Высокие потолки добавляют пространству воздуха и визуально увеличивают помещение.
Студия полностью готова к проживанию. Около года назад сделан свежий ремонт, установлена современная функциональная мебель. Состояние аккуратное - можно заехать сразу после сделки без дополнительных затрат на ремонт и обустройство.
Отдельное преимущество - локация. Маросейка - один из самых атмосферных и востребованных районов историче ..., 16 фото</t>
  </si>
  <si>
    <t>https://www.cian.ru/sale/flat/334333952</t>
  </si>
  <si>
    <t>Арт. 146320891 Квартира внутри Бульварного Кольца. 
Тихий уютный зеленый двор переходящий в Милютинский сад.
Один собственник более пяти лет., 20 фото</t>
  </si>
  <si>
    <t>https://www.cian.ru/sale/flat/335000023</t>
  </si>
  <si>
    <t>Вашему вниманию предлагается уютная пятикомнатная квартира в историческом центре Москвы. В 5-ти минутах пешком от метро Китай-город. Малоквартирный дом, расположенный в глубине квартала, действительно "тихий центр". Закрытый двор с парковкой для жильцов и со своим сквером. Презентабельный подъезд. Всего по две квартиры на этаже. Высокий второй этаж, практически третий.
           Капремонт дома был в 2023 году. Архитектор - знаменитый Нирнзее.
   В квартире сделан качественный евроремонт по принципу "Для себя". Особое внимание при ремонте было уделено качеству комплектующих, надежности и беспроблемности дальнейшей эксплуатации инженерного оборудования квартиры, водоснабжения и электропроводки. Стены и полы возведены заново.  Окна на разные стороны. Высокие потолки дают ощущение объема и пространства.
       Три изолированные спальни и кабинет, два полноценных санузла, большая кухня-гостиная 50 кв.м., гардеробная, просторный входной холл. Легкая альтернатива. Более 10 лет в собственност ..., 25 фото</t>
  </si>
  <si>
    <t>https://www.cian.ru/sale/flat/334857043</t>
  </si>
  <si>
    <t>Исторический доходный особняк купцов Расторгуевых. ЖК "Дом с Атлантами".
Полная реконструкция дома, железобетонные перекрытия.
Лобби отделано натуральными материалами (дерево,  камень)
В квартире идет ремонт, вся мебель и все материалы приобретены.
На данной стадии очень выгодная инвестиция. Стоимость обсудим.
2 минуты от парка Зарядье. Рядом Кремль, Китай-город, набережная и т.д.
Сервис уровня клубного дома на высоком уровне: консьерж 24/7, охрана с видеонаблюдением, умный дом, крытый паркинг с valet-обслуживанием и закрытый приватный сквер.
К сделке готовы, 1 взрослый собственник.
541700, 13 фото</t>
  </si>
  <si>
    <t>https://www.cian.ru/sale/flat/331813339</t>
  </si>
  <si>
    <t>Продаётся просторная 6-комнатная квартира в историческом центре
Москвы, на ул. Солянка. 3 минуты пешком до м. Китай-город.
Параметры:
• Общая площадь - 213,7 кв. м., жилая - 139,4 кв.м.
• 5/6 этаж, дом 1914 года, пассажирский лифт.
• Гостиная 47,3 кв.м. со свой столовой зоной 26 кв.м., две спальни, детская, кабинет.
• Кухня - 23,2 кв.м., потолки — 4,2 м.
• 2 санузла
• 2 гардеробных комнаты
Квартира выполнена в элегантном неоклассическом стиле. Дизайнерский ремонт порадует даже самых взыскательных покупателей. В отделке использованы натуральное дерево, мрамор, латунные акценты и лепнина.
Квартира свободна юридически и физически, продается со всей мебелью и техникой. 
Показы в любое удобное для Вас время., 39 фото</t>
  </si>
  <si>
    <t>https://www.cian.ru/sale/flat/334880947</t>
  </si>
  <si>
    <t>Арт. 142530269 Трехкомнатная квартира на Покровском бульваре | Камерный дом в окружении зелени и абсолютной тишины
Уникальное предложение для тех, кто ценит статус исторической Москвы, но ищет абсолютную приватность, тишину и загородный уют.
Продается эксклюзивная трехкомнатная квартира по адресу: Покровский бульвар, д. 4/17с6.
Главные преимущества:
Малонаселенный клубный формат: Дом имеет всего один подъезд, 4 этажа и 14 квартир. Здесь нет случайных людей — только интеллигентное, статусное соседство и максимальное уединение.
Локация-оазис: Дом утопает в зелени вековых деревьев и скрыт в тихом переулке. Открыв окно, вы услышите пение птиц, а не шум мегаполиса. Полное ощущение жизни в загородной усадьбе при нахождении в самом центре.
Вид из окон: Окна квартиры выходят в ухоженный палисадник. В поле зрения полностью отсутствуют проезжая часть, парковка или вход в подъезд — только приватный, радующий глаз пейзаж.
Авторский интерьер: Капитальный дизайнерский ремонт в современном стиле.  ..., 18 фото</t>
  </si>
  <si>
    <t>https://www.cian.ru/sale/flat/333058544</t>
  </si>
  <si>
    <t>Квартира в Доме под Ангелами — 237,8 м² в сердце Москвы
Редкое предложение в одном из самых известных исторических домов Москвы на улице Солянка. Дом 1914 года постройки, архитектор В.В. Шервуд — после полной реконструкции с железобетонными перекрытиями и заменой всех коммуникаций.
О квартире
Площадь 237,8 м², потолки 3,7 м, кухня 30 м². Изолированная планировка: просторная кухня-столовая, гостиная, кабинет из натурального дерева, комната с камином, мастер-спальня с собственным санузлом и три отдельные комнаты. Итого 4 санузла. Спальни выходят в тихий двор, кухня-гостиная — на историческую улицу Солянка.
Отделка и интерьер
Только что завершена отделка с элементами реставрации: сохранена подлинная лепнина с сусальным золотом, кованые детали и люстры после реставрации. Установлены системы кондиционирования и увлажнения воздуха. Квартира продаётся с мебелью.
Дом и инфраструктура
Парадный подъезд, консьерж, охраняемая парковка с шлагбаумом — в стоимость включены 3 машиноместа. До метро  ..., 17 фото</t>
  </si>
  <si>
    <t>https://www.cian.ru/sale/flat/327598141</t>
  </si>
  <si>
    <t>.
 •	Предлагается 1-комнатная квартира, жемчужина на рынке недвижимости в Басманном районе Москвы (ЦАО)! В 2-х минутах пешком от метро Китай-город! Пространство продаваемого объекта дарит прекрасную возможность собственнику вдохнуть в эти метры новую жизнь, воплотить свои мечты, реализовав самые смелые дизайнерские проекты! 
 •	Квартира расположена на 2-ом этаже в кирпичном доме, признанном Объектом культурного наследия регионального значения Доходный дом с лавками, начало XIXв.  начало ХХв. (в основе главный дом и флигели городских усадьб В.П.Измайлова, Я.А.Голицына, А.В.Репина, 1770-1790гг.). 
 •	Свободная продажа, 1 взрослый собственник, наследство (более 5 лет в собственности, покажем полную стоимость в договоре), квартира юридически и физически свободная. Без долгов и обременений. Подходит под ипотеку!
 •	Общая площадь 34,1м², жилая: 23,9м², кухня 4,5 м² (окно кухни выходит в остеклённый холл на три квартиры, который закрывается на электронный ключ), раздельный санузел. Высо ..., 24 фото</t>
  </si>
  <si>
    <t>https://www.cian.ru/sale/flat/333142329</t>
  </si>
  <si>
    <t>ID 12646. В продаже просторная 6-комнатная квартира в историческом центре Москвы, тихое и престижное место в районе Чистых Прудов. Квартира расположена на 2 этаже жилого дома, общая площадь составляет 140 кв.м. Планировка включает большую гостиную, отдельную кухню, 4 спальни, столовую и две ванные комнаты: одну полную с ванной и душем и гостевую. Прекрасная база: натуральный паркет, крашеные стены, окна выходят и на улицу, и во двор. Установлены кондиционеры, стиральная и посудомоечная машины. Квартира предлагается без мебели. Дом расположен в тихом зелёном переулке с огороженной территорией и парковкой во дворе за шлагбаумом. В шаговой доступности — парк Чистые Пруды, детские сады, школы, фитнес-клубы, супермаркеты, рестораны и кафе. Район отличается развитой инфраструктурой и высоким уровнем благоустройства.
Свободная продажа. Один взрослый собственник., 22 фото</t>
  </si>
  <si>
    <t>https://www.cian.ru/sale/flat/332559756</t>
  </si>
  <si>
    <t>Продажа однокомнатной квартиры на Чистых прудах, в историческом центре Москвы, ул. Хохловский переулок дом 10, стр. 7, Басманный ЦАО. Общая площадь квартиры 30.4 кв. м, кухня  6,4 кв.м, комната 18,3 кв.м., совмещенный санузел, застекленный балкон, 3/9 этаж, окна выходят во двор. Уютная и теплая квартира в хорошем состоянии после ремонта. Идеальный вариант как для личного проживания так и для сдачи в аренду. В доме был произведен капитальный ремонт, ухоженный и чистый подъезд, приятные и интеллигентные соседи. Придомовая территория облагорожена, въезд во двор с закрытой парковкой. Престижное месторасположение. Рядом находятся станции метро Чистые пруды, Тургеневская, Красные ворота, а также Курская и Китай город. Уютные тихие улочки, исторические культурные достопримечательности, в шаговой доступности школы, детские сады, магазины и поликлиники.
Квартира без долгов и обременений. Один взрослый собственник. Право собственности по договору дарения 2022 год. Альтернатива. Цена квартиры 28  ..., 19 фото</t>
  </si>
  <si>
    <t>https://www.cian.ru/sale/flat/325547166</t>
  </si>
  <si>
    <t>ЛЕГЕНДАРНЫЙ ДОМ НА СОЛЯНКЕ
Знаменитый дом с Ангелами, один из самых узнаваемых исторических домов центра Москвы. Здание прошло реконструкцию с заменой перекрытий на железобетонные, что сочетает архитектурную эстетику старой Москвы с современным уровнем надежности и комфорта.
Парадный подъезд, консьерж, ухоженная входная группа. Закрытая территория с охраной и шлагбаумом. Для жильцов предусмотрена парковка — 3 машиноместа.
Квартира отличается продуманной и удобной планировкой. Спальные комнаты выходят в тихий зеленый двор, что обеспечивает спокойствие и приватность, а кухня-гостиная ориентирована в сторону Солянки, сохраняя атмосферу исторического центра города.
Планировка включает: просторную кухню-столовую, гостиную, кабинет, отдельную комнату с камином (может использоваться как дополнительная гостиная или библиотека), мастер-спальню со своим санузлом, три изолированные комнаты свободного назначения, три полноценных санузла и один технический.
В квартире только что завершена каче ..., 17 фото</t>
  </si>
  <si>
    <t>https://www.cian.ru/sale/flat/327754536</t>
  </si>
  <si>
    <t>198854 ЖК Дом с Атлантами
Лучшая квартира в доме. Самые высокие потолки. Оперативный показ!!!
Дом с Атлантами - дом 1882 года с богатой историей, которая продолжается.
Встреча титанов. Белоснежный фасад фокусирует внимание на богатстве деталей барельефа, замысловатой игре света и тени, оживляющей взоры могучих атлантов. Ключи от дубовой двери этого легендарного дома всегда принадлежали сильнейшим.
Знаковое окружение белого города. Дом расположен в исторической местности белый город с ее извилистыми улочками и множеством старинных храмов. Карта окрестностей усыпана достойными внимания точками, среди которых парк "Зарядье", Кремль, Большой и Малый театры, ГУМ, ЦУМ, Гранд Кофемания и многое другое.
Квартира с не законченным, дизайнерскими ремонтом. Все отделочные материалы а так же кухня и техника закуплены.
Экосистема Kalinka  единое пространство для решения задач в сфере недвижимости.
Участник ассоциации AREA, 14 фото</t>
  </si>
  <si>
    <t>https://www.cian.ru/sale/flat/334575409</t>
  </si>
  <si>
    <t>213411 ЖК Дом с Атлантами
3-комнатная квартира 106,8 кв.м в Доме с Атлантами. 
Планировка: прихожая, кухня-гостиная, мастер-спальня с ванной комнатой, гардеробной и выходом на балкон, вторая спальня с ванной комнатой и гардеробной, гостевой санузел, постирочная. 
7 окон и высокие потолки 4,5 метра наполняют пространство воздухом и светом. 
Из окон открываются панорамные виды на исторический центр столицы. 
Экосистема Kalinka  недвижимость для счастья.
Участник ассоциации AREA, 12 фото</t>
  </si>
  <si>
    <t>https://www.cian.ru/sale/flat/334575674</t>
  </si>
  <si>
    <t>Код объекта: 2388195.
Студия 21,35 м² на Маросейке — жить в самом сердце исторической Москвы, ощущая простор и свет: потолки 3,7 м и окна на улицу наполняют помещение воздухом и дневным светом с раннего утра.
Продуманная планировка: 17,35 м² жилой зоны, компактная кухня 3 м² и аккуратный совмещённый санузел — всё нигде не мешает друг другу, всё готово для комфортной организации пространства и хранения. Евроремонт позволяет заехать сразу: чистые стены, современная сантехника и аккуратная отделка. Второй этаж повышает удобство входа — минимум подъёмов, максимум комфорта.
Дом 1912 года из кирпича на шести этажах с металлическими перекрытиями — сочетание исторической фактуры и надёжной конструкции. Центральное отопление и огороженная территория добавляют простоты в эксплуатации и чувство защищённости. Окна на улицу дают городской ритм и визуальную связь с окружающей средой.
Отличный вариант как для постоянного проживания, так и для долгосрочной сдачи: экономичное содержание, лёгкий уход ..., 7 фото</t>
  </si>
  <si>
    <t>https://www.cian.ru/sale/flat/334984938</t>
  </si>
  <si>
    <t>Сретенский бульвар</t>
  </si>
  <si>
    <t>Продаётся 3-комнатная квартира площадью 67,6 м² по адресу: Москва, ул. Маросейка, 10/1с3.
Параметры квартиры:
• Общая площадь — 67,6 м²
• Жилая площадь — 50 м²
• Комнаты — 15,8 м², 18,8 м² и 15,2 м²
• Высокий 1-й этаж кирпичного дома
• Лифт
• Совмещенный  сан. узел
• Высокие потолки
Исторический центр Москвы, район Китай-город. Пешая доступность до метро, Кремля, Чистых прудов и Покровки.
Что важно:
• 1 собственник, 28 лет. 
• Основание собственности — Свидетельство о праве на наследство по закону (от отца к сыну, БОЛЕЕ 3 лет)
• Полная стоимость в договоре
• Без долгов и обременений
• Свободная продажа
Маросейка - одна из старейших улиц Москвы с высокой ликвидностью недвижимости и ограниченным объёмом предложения. Центр, который всегда востребован независимо от рынка.
Звоните - подробно расскажу по документам, формату сделки и просмотрам. 
Номер в базе: 14373016
Код пользователя: 141992, 29 фото</t>
  </si>
  <si>
    <t>https://www.cian.ru/sale/flat/334845815</t>
  </si>
  <si>
    <t>Номер объекта: 585958. 
Просторная 4-комнатная квартира в премиальном клубном особняке "Дом с Атлантами".
Квартира с незавершенной чистовой отделкой. Возможна отделка "под ключ" по готовому дизайн-проекту, все материалы закуплены, включая паркет, сантехнику и кухню Valcucine известного итальянского производителя премиального уровня. Отделка может быть завершена в течение трех-четырех месяцев. 
Два фиксированные машино-места на территории двора включены в стоимость.
"Дом с Атлантами" - бывший доходный дом известного архитектора В.Н. Карнеева - проект реставрации объекта культурного наследия. Закрытая территория с ландшафтным дизайном и зоной парковки. Круглосуточный консьерж-сервис.
Участник ассоциации AREA., 24 фото</t>
  </si>
  <si>
    <t>https://www.cian.ru/sale/flat/333238578</t>
  </si>
  <si>
    <t>Двухуровневые апартаменты с 2 спальнями площадью 165 м² в клубном доме делюкс-класса "Палаты Нарышкина". Апартаменты с отдельным входом расположены на первом и втором этажах. Выполнена отделка в стиле лофт с использованием премиальных материалов — деревянные окна, дубовая инженерная доска, широкоформатный керамогранит Arch-Skin.
Стены оформлены отреставрированным кирпичом с покрытием от греческого производителя Koursanit. Установлены межкомнатные двери из массива дуба. Апартаменты оснащены вытяжной вентиляцией Soler&amp;Palau, системой кондиционирования Electrolux, датчиками от протечки воды Neptun. Дополнительно предусмотрены IP-домофония Fermax и видеонаблюдение RVI.
Интерьеры укомплектованы корпусной мебелью на заказ и кухонным гарнитуром со встроенной бытовой техникой Neff, Liebherr. Сантехника Hansgrohe, Duravit, Kaldewei. Реализованы различные сценарии освещения с возможностью дистанционного управления Casambi. Спланированы просторная кухня-гостиная со вторым светом, две спальни, д ..., 23 фото</t>
  </si>
  <si>
    <t>https://www.cian.ru/sale/flat/319780841</t>
  </si>
  <si>
    <t>Роскошные двухуровневые апартаменты площадью 165 кв.м, расположенные на первом и втором этажах камерного клубного дома "Палаты Нарышкина". Таунхаус предусматривает отдельный вход, что обеспечивает высокий уровень приватности и ощущение самостоятельного дома в пределах исторического центра Москвы. Дом находится в километре от Кремля, в окружении тихих улиц и закрытых дворов.
Преимущества:
- отдельный вход и приватный формат проживания;
- двухуровневое пространство со вторым светом;
- дизайнерская отделка в стиле современного лофта;
- исторический клубный дом с сервисом для резидентов.
Планировочное решение таунхауса выстроено вокруг просторной кухни-гостиной со вторым светом, которая формирует главное жилое пространство и задает архитектурный характер апартаментам. Высокие потолки (в коньке - 12 м) и большие окна наполняют интерьер естественным светом, подчеркивая объем помещения. На втором уровне расположены две спальни, обеспечивающие приватность и комфорт, а также второй санузел. В ..., 19 фото</t>
  </si>
  <si>
    <t>https://www.cian.ru/sale/flat/327541933</t>
  </si>
  <si>
    <t>Отличный вариант для тех кто хочет жить в самом центре города в окружении культурных и деловых пространств. Предлагается 4-х комнатная квартира. Планировка включает просторную кухню гостиную и четыре отдельные комнаты что делает квартиру комфортной для всей семьи. Не упустите свой шанс стать обладателем этой квартиры.
Арт. 145479062, 35 фото</t>
  </si>
  <si>
    <t>https://www.cian.ru/sale/flat/334381175</t>
  </si>
  <si>
    <t>Эксклюзивно в АН "НИКА ЭСТЕЙТ "! Уникальное предложение в пешей доступности от Кремля!  Двухуровневая квартира S: 81,7 м.кв  в историческом особняке "Палаты Нарышкина". Реставрация 2021 года!
Современный дом класса "de luxe"  - Клубные резиденции  "Маросейка, 11".
Квартира  полностью укомплектована  бытовой техникой и сантехникой  премиального уровня. Невероятная высота потолков 4,8 метра!
Оригинальное планировочное решение: 1 этаж- прихожая,  гостиная объедененая  с зонной кухни, остров,  с/у. 
2 этаж-  спальня, зона коридора со встроенными шкафами.
Квартира оснащена: 
- мультизональной системой  кондиционирования на базе  VRF систем ELECTROLUX
- фильтрами тонкой очистки  воды SYR и вытяжной вентиляцией  SOLER PALAU
-  измельчителем отходов BONE CRUSH- ER
- энергоэффективными диодными лампами  с управлением по протоколу CASAMBI, с ультрасовременной беспроводной  Bluetooth-технологией с низким  уровнем энергопотребления;
 Установлены окна- дубовые с двухкамерным стеклопакетом и энерг ..., 24 фото</t>
  </si>
  <si>
    <t>https://www.cian.ru/sale/flat/328377077</t>
  </si>
  <si>
    <t>Эксклюзивно в АН "НИКА ЭСТЕЙТ" . Уникальное предложение в пешей доступности от Кремля,  Двухуровневая квартира 123,5 м.кв  в историческом особняке "Палаты Нарышкина". Реставрация 2021 года!
Современный дом класса "de luxe"  -  Клубные резиденции  "Маросейка, 11"! 
Квартира  полностью укомплектована новой  бытовой техникой и сантехникой  премиального уровня. Невероятная высота потолков до  4,8  метров!
Оригинальное планировочное решение: 1 этаж- просторная прихожая, большая гостиная объедененая  с зонной кухни, обеденная зона , с/у; 
2 этаж - спальня, с/у с душевой кабиной. 
Проект реставрации "Палаты Нарышкина" гармонично сочетает элементы исторических пространств в подлинном кирпиче 17- 18 вв, современный  лаконичный стиль минимализма и наполнение дома современнейшей инженерией. Установлены панорамные лифты. 
Новый собственник не услышит строительный шум в доме, все  квартиры продавались с отделкой и готовыми интерьерами.
Квартира оснащена: 
- мультизональной системой  кондициониров ..., 27 фото</t>
  </si>
  <si>
    <t>https://www.cian.ru/sale/flat/329772068</t>
  </si>
  <si>
    <t>Лот 169870.  Эксклюзив Vesco Realty. ЖК "Дом с Атлантами" - 4-уровневая вилла 269,7 кв.м в предчистовой отделке White Box с террасой на крыше в клубном доме deluxe-класса в сердце Китай-города. Уникальный формат городской виллы для тех, кто ценит приватность и уединение. 
Особенности виллы:
- 3 спальни со своими ванными и гардеробными с панорамными окнами и потолками до 3,7 м.
- Отдельный вход со стороны внутреннего двора.
- Приватная терраса на крыше 56,3 кв.м, скрытая от посторонних глаз. 
- Дровяной камин в гостиной.
ПЛАНИРОВКА
1 уровень:
Входная группа (17,5), лифт (2,2).
2 уровень: 
Объединенная кухня-столовая-гостиная (56,4), гостевой с/у (2,9), прихожая (11), постирочная (2,6), лифтовый холл (4), лестница (9,5).
3 уровень: 
Спальня 1 (18,9) с гардеробной (9,8) и ванной комнатой (6,8).
Спальня 2 (20,5) с гардеробной (4,2) и ванной комнатой (4,2).
Лестница (9,5), лифтовой холл (6).
4 уровень:
Мастер-спальня (24,7) с балконом (вид открывается на Церковь Рождества Пресвятой Б ..., 29 фото</t>
  </si>
  <si>
    <t>https://www.cian.ru/sale/flat/330166314</t>
  </si>
  <si>
    <t>Лот 169871.  Эксклюзив Vesco Realty. ЖК "Дом с Атлантами" - Эксклюзивный пентхаус общей площадью 1231 кв.м., в которую входит площадь пентхауса 738,3 кв.м с двумя террасами (493,3 кв.м) в клубном доме deluxe-класса в сердце Китай-города. Уникальное предложение для ценителей приватности и статуса.
Ключевые преимущества:
•  Центральное расположение: Площадь загородного дома в историческом центре Москвы, рядом с Кремлем. Объект культурного наследия.
•  Ликвидность: Неизменная ценность локации и вида.
•  Тихая роскошь: Статус, подтвержденный коллекционным трофеем.
Исключительные особенности:
•  Пространство для искусства: Вытянутая геометрия и стены для интеграции коллекций.
•  Музыкальная гостиная: Отдельная зона для творчества.
•  Две террасы: Гостевая (до 25 гостей, барбекю) и приватная (отдых, спорт).
•  Просторная кухня-столовая: На 12 персон.
•  Рабочие зоны: Кабинет и винно-сигарная комната.
•  Цифровой арт-объект: Мультимедийная стена, трансформирующая гостиную в кинозал.
•  Пр ..., 33 фото</t>
  </si>
  <si>
    <t>https://www.cian.ru/sale/flat/330391459</t>
  </si>
  <si>
    <t>Лот 169854.  Эксклюзив Vesco Realty. ЖК "Дом с Атлантами" - Новая двухуровневая резиденция 305,5 кв.м в предчистовой отделке White Box с собственным патио в клубном доме deluxe-класса в сердце Китай-города. Уникальный формат городской резиденции, для тех кто ценит приватность и уединение. 
Особенности резиденции:
- 3 спальни со своими ванными и гардеробными с панорамными окнами и потолками 3,4 м. Две из них - со своими выходами в патио.
- Отдельный вход со стороны внутреннего двора.
- Приватное патио 55,5 кв.м, скрытое от посторонних глаз. 
- Высокие потолки со сводами Монье в гостиной (4,3 м).
- Все окна смотрят в тихий двор.
ПЛАНИРОВКА
1 уровень: 
Прихожая с функциональной гардеробной (10.3), гостевой с/у (2,1).
Объединенная кухня-столовая-гостиная (74,4).
Мастер-спальня (30) с гардеробной (8) и ванной (8). 
-1 уровень: 
Гостиная (26), патио (55,5). Спальня 1 (24), гардеробная (9), ванная комната (14,6).
Спальня 2 (20,9), гардеробная (4), ванная комната (4,3). Лестничный холл  ..., 22 фото</t>
  </si>
  <si>
    <t>https://www.cian.ru/sale/flat/329278193</t>
  </si>
  <si>
    <t>Лот  73452 Предлагается уникальная квартира в доме довоенной постройки, С ЛИФТОМ!. Место с историей и особой атмосферой. Тихий уголок в самом центре Москвы! Комфортный третий этаж, квартира не угловая, дом очень теплый с толстыми стенами. Большие окна  во двор и тихий переулок. Удачная планировка, много встроенных шкафчиков. Квартира под ремонт. Есть возможность воплотить в жизнь  дизайнерские решения. Достойные соседи. Без долгов и обременений. Торг!!!!!, 22 фото</t>
  </si>
  <si>
    <t>https://www.cian.ru/sale/flat/316340180</t>
  </si>
  <si>
    <t>Квартира в историческом центре Москвы, в пяти минутах от Кремля, по адресу: улица Солянка, дом 1/2с1.  Комплекс домов 1912-1915 года построен на месте бывшего Соляного двора по проекту архитекторов В. Шервуда, И. Германа и А. Сергеева. Дом "Московского купеческого общества" выполнен в стиле неоклассицизма и является объектом культурного наследия. 
В результате реконструкции в здании были установлены железобетонные перекрытия, заменены коммуникации.
Квартира состоит из пяти жилых комнат общей площадью 215 кв. м., расположена на шестом этаже. Высота потолков - 3,4 метра. Окна ориентированы на две стороны: тихий двор и оживленную улицу. В Квартире имеется два входа, второй из которых "запасной". 
Из просторной гостиной площадью 103 кв.м. с шестью окнами, открывается красивый вид на Славянскую площадь и ансамбль храма  Всех Святых на Кулишках. Дизайн квартиры гармонично сочетает исторически обоснованные элементы - паркет, гипсовую лепнину, мраморные подоконники - с современными функциональ ..., 7 фото</t>
  </si>
  <si>
    <t>https://www.cian.ru/sale/flat/333116139</t>
  </si>
  <si>
    <t>Продаётся уютная трехкомнатная квартира общей площадью 105 квадратных метров, расположенная на третьем этаже пятиэтажного кирпичного дома. Жилая площадь составляет комфортные 53 квадратных метров, кухня занимает 12 квадратных метров, 3 просторных гардеробных.
Из окон открывается приятный вид как на тихий двор с детской и спортивной площадками, так и на улицу, позволяя наслаждаться городскими пейзажами.
Особое внимание заслуживает месторасположение жилья  центр Москвы, Большой Трёхсвятительский переулок, всего в нескольких минутах ходьбы от известных станций метро, таких как Китай-город, Чкаловская, Курская и Чистые пруды, что обеспечивает лёгкий доступ ко всем значимым районам столицы.
Этот вариант идеально подойдёт тем, кто ценит историческую атмосферу города, предпочитает жить в спокойной обстановке с удобствами для детей и спортивных активностей прямо у дома, при этом имея быстрый доступ к основным транспортным узлам. 
Приглашаем вас оценить все преимущества данной к ..., 17 фото</t>
  </si>
  <si>
    <t>https://www.cian.ru/sale/flat/324301189</t>
  </si>
  <si>
    <t>Предлагаются к продаже  апартаменты формата евро-3 в премиальной Резиденции на Покровском бульваре — камерном комплексе всего на 45 апартаментов в Басманном районе!
В апартаментах — качественный дизайнерский ремонт в светлой цветовой гамме и современной стилистике. Интерьер получился спокойным и очень собранным: много воздуха, приятные оттенки, современные материалы и качественные мебель и техника. Планировка евро-3 позволяет разделить квартиру на общую и приватную зоны: просторная кухня-гостиная и две отдельные комнаты. Квартира полностью готова к проживанию!
Сама Резиденция — именно тот формат, который сложно повторить в новом строительстве: всего семь этажей, приватная территория, двухуровневый подземный паркинг, консьерж-сервис и камерная атмосфера. Проект выполнен по индивидуальной архитектуре бюро Мезонпроект, фасад украшен натуральным камнем, медью и коваными элементами.
И отдельное удовольствие — окружение. Выйти из дома и за несколько минут оказаться на Покровском бульваре,  ..., 11 фото</t>
  </si>
  <si>
    <t>https://www.cian.ru/sale/flat/334133446</t>
  </si>
  <si>
    <t>Стильная студия на Маросейке ; 
готова к проживанию или ведению бизнеса по аренде;
высокие потолки 3.7 м позволили выполнить отдельное спальное место ;
есть возможность расширения пространства в случае необходимости. На данный момент 17.5 кв м ( по документам)+ 6 кв м спальное место ;
прямой договор с Мосэнергосбыт ( установлен механический счетчик, который позволяет использовать большую мощность ); 
счетчики опломбированы ; 
для собственника - парковочное место в центре Москвы ( во дворе за воротами) ; 
в ближайшее время будет установлен новый лифт ; 
тихий двор ; 
Отдельный кадастровый номер ;
Юридически надежная сделка ;
1 собственник ;
Полная стоимость в договоре ;
Подходит под ипотеку ;
 Показы по договоренности., 38 фото</t>
  </si>
  <si>
    <t>https://www.cian.ru/sale/flat/333076595</t>
  </si>
  <si>
    <t>Дом расположен в пределах Бульварного кольца в историческом центре Москвы, в пяти минутах Чистые пруды и в 15 минутах пешком от Красной площади и парка Зарядье, в окружении исторических церквей, соборов.  В квартире выполнен ремонт с использованием качественных материалов, итальянская кухня, двери из массива, встроенная бытовая техника. Функциональная планировка, светлые комнаты (18,1; 20; 11,3; 11.9) кв.м., потолки 3 метра. Вид из окон на памятники архитектуры. Тихий и зеленый район с развитой инфраструктурой., 21 фото</t>
  </si>
  <si>
    <t>https://www.cian.ru/sale/flat/327593501</t>
  </si>
  <si>
    <t>Квартира расположена в историческом центре Москвы на 2 этаже реконструированного дореволюционного кирпичного дома класса Премиум, с выполненным дизайнерским ремонтом. Создано дополнительно горизонтальное пространство на 2-м уровне квартиры  ( антресоль 10,6 кВ м ).
Реконструкция дома завершена в 2021 году с полной заменой перекрытий, инженерных систем, кровли. Сохранен исторический облик фасада. Установлен  лифт  и современная система контроля доступа во двор, подъезд , квартиру .В местах общего пользования выполнен высококачественный ремонт с использованием премиальных материалов. На внутренней территории дома оборудована парковка  для 29 автомобилей.
Премиальная инфраструктура.
Без обременений. Свободная продажа.
Оперативный показ.
Эксклюзивный договор., 39 фото</t>
  </si>
  <si>
    <t>https://www.cian.ru/sale/flat/312760289</t>
  </si>
  <si>
    <t>Продаётся уникальная квартира с атмосферой роскоши в историческом центре Москвы.
Локация — в 5 минутах ходьбы от Кремля, в окружении старинных храмов и особняков. В двух шагах от станции метро Китай-город.
Это дизайнерский проект, где каждый элемент интерьера подобран со вкусом. Пространство полностью обновлено: от новых коммуникаций, сантехники и электрики до паркетных полов и остекления под дерево. Вся бытовая техника современная и исправна. Игра света на стенах, отделанных венецианской штукатуркой, создаёт замысловатые сценарии освещения.
Окна выходят в тихий двор и на дальнюю часть Пертоверигского переулка, всегда тихо и спокойно. 
Общая площадь — 68,5 кв. м.
Спальня: 19,8 кв. м с двумя большими окнами, оборудована кондиционером.
Кабинет: 11 кв. м.
Кухня-гостиная: 6 + 17,7 кв. м (с кондиционером).
Кухня — настоящий рай для кулинара. Она оборудована практичной встроенной мебелью и техникой: варочная панель, духовка, вытяжка, посудомоечная машина (все — Electrolux) и холодильник Lieb ..., 30 фото</t>
  </si>
  <si>
    <t>https://www.cian.ru/sale/flat/330609783</t>
  </si>
  <si>
    <t>Продается стильная двухкомнатная квартира в историческом центре Москвы, на улице Солянка. Площадь квартиры составляет 68 кв. м, из которых 15 кв. м — жилая площадь, а кухня — 8 кв. м. Высокие потолки 3.7 метра создают просторное и светлое пространство. Квартира расположена на 2-м этаже 6-этажного дома, построенного в 1914 году. До метро "Китай-город" всего 5 минут пешком.
В квартире сделан дизайнерский ремонт, который подчеркнет ваш вкус и индивидуальность. Элегантные интерьеры и продуманная планировка обеспечивают комфорт и уют. Квартира оснащена всеми необходимыми современными удобствами, включая совмещенный и отдельный санузлы. Окна выходят во двор, что обеспечивает тишину и спокойствие.
Дом находится в хорошем состоянии, оборудован пассажирским лифтом и мусоропроводом. Для вашего удобства предусмотрена наземная парковка.
Район обладает развитой инфраструктурой: поблизости расположены школы, детские сады, клиники и магазины. Это идеальное место для комфортной жизни в центре столи ..., 23 фото</t>
  </si>
  <si>
    <t>https://www.cian.ru/sale/flat/334166689</t>
  </si>
  <si>
    <t>Лот 61433. Виктория Шевцова.
Квартира с 3-4 просторными спальнями и роскошным видом на Администрацию Президента и Ильинский сквер. Редкое предложение для большой семьи, которой комфортно жить в сердце столицы - Китай-город, Зарядье, Кремль. Дом строился для генералитета генштаба и имеет усиленные перекрытия. Планировка на две стороны - в тихий двор и на Старую площадь. Потолки 3,15 м. В центре квартиры большой холл, в котором можно спланировать дополнительные вспомогательные помещения. В квартире 3 спальни, гостиную при необходимости тоже можно сделать спальней, а досуговую зону для всей семьи организовать в просторной кухне. Финские окна со звукоизоляцией. Бойлер. Проведен косметический ремонт. В комнатах кондиционеры. Дом в стиле сталинской неоклассики с колоннами и декором в технике сграффито. Рядом м. Китай-город.
Есть презентации в pdf на русском или английском для партнеров. Член ассоциации агентств элитной недвижимости AREA., 27 фото</t>
  </si>
  <si>
    <t>https://www.cian.ru/sale/flat/334826963</t>
  </si>
  <si>
    <t>Москва, Хохловский переулок, 15</t>
  </si>
  <si>
    <t>Id 391297. 1-комнатная квартира в Хохловском переулке | ЦАО
ВЫСОКИЙ ЭТАЖ
Квартира в историческом центре Москвы, в одном из самых атмосферных переулков столицы.
Изолированная комната 15 м², отдельная кухня 9 м², потолки 3,2 м. Выполнен качественный евроремонт, квартира полностью меблирована и оснащена техникой, есть кондиционер — можно сразу заехать и жить.
Тихая и камерная локация в центре Москвы. Расположение в Хохловском переулке — это отдельный актив. Вы находитесь в нескольких минутах пешком от Чистых прудов и Трубной площади, в непосредственной близости от Покровки и Сретенки. Вокруг — уютные рестораны, кофейни, современные галереи и бутики.
Инфраструктура развита идеально: в шаговой доступности находятся школы, детские сады, поликлиники и продуктовые магазины. Несмотря на центр, здесь удивительно тихо и зелено благодаря старинным дворам и бульварам
Дом капитальный, кирпичный, с мусоропроводом и пассажирским лифтом, рассчитан на пять этажей. Состояние подъезда аккуратное. Во  ..., 8 фото</t>
  </si>
  <si>
    <t>https://www.cian.ru/sale/flat/332798252</t>
  </si>
  <si>
    <t>https://www.cian.ru/sale/flat/334901189</t>
  </si>
  <si>
    <t>Москва, улица Солянка, 9</t>
  </si>
  <si>
    <t>Продажа бизнес-лотов в историческом особняке 19 века на Солянке в пешей доступности от ст. м. "Китай-город".
Площади от 14 до 100 м2. 
В помещениях выполнены штукатурка и шпаклевка стен под покраску. 
Возможно выполнение проекта "под ключ" под руководством профессионального дизайнера. Централизованные системы кондиционирования и вентиляции.
Большие окна из деревянного профиля с повышенными теплоизоляционными и шумоподавляющими свойствами. 
Здание после полной реконструкции и реставрации с сохранением исторического фасада и заменой всех инженерных систем и перекрытий. 
Выполнена дизайнерская отделка входной группы и вестибюля, установлен лифт.
Красивые виды на исторические постройки, храмы и во внутренний двор с ландшафтными дизайном.
Территория огорожена и благоустроена, находится под круглосуточной охраной. 
Особняк расположен в самом сердце столицы в нескольких минутах ходьбы от м. "Китай-город", рядом Красная площадь, парк Зарядье и набережные Москвы-реки.
Окружение не то ..., 4 фото</t>
  </si>
  <si>
    <t>https://www.cian.ru/sale/flat/334428205</t>
  </si>
  <si>
    <t>https://www.cian.ru/sale/flat/333056782</t>
  </si>
  <si>
    <t>Прoдaетcя прocторная 3-комнaтная квaртирa в  истoрическом цeнтpe Moсквы. Рядом — Китай-гоpод, Мapосейка, Пoкpовкa, Лютеранcкий собоp, пaрк Зaрядье и Kремль. Вся инфpacтруктуpa центpa в шагoвoй дocтупноcти.Кваpтиpa pacпoложена в кирпичном доме с красивой архитектурой, характерной для исторической застройки этого района. Высокие потолки, большие окна, просторные комнаты, продуманная планировка — идеальное пространство для семьи, которая ценит комфорт, приватность и статус.Особенности объекта: Три полноценные комнаты, каждая со своим характером и светом; В квартире сохранились подлинные встроенные ниши; Окна выходят во двор / на исторический переулок (панорамный вид / зелень); Состояние:  требующее обновления под личный вкус; Дом с историей, но с современными коммуникациями; Лифт, ухоженный подъезд; Напротив квартиры — дополнительный выход. Когда-то он служил отдельным ходом для прислуги — так строили дореволюционные дома.Для чего это даёт возможности: иметь запасной маршрут для выхода из ..., 30 фото</t>
  </si>
  <si>
    <t>https://www.cian.ru/sale/flat/334193476</t>
  </si>
  <si>
    <t>Уникальная возможность приобрести помещение в трёх минутах ходьбы от Кремля.
Лоты от 15 до 100 м2 расположены в историческом доходном доме конца 19 века. 
В здании проведена полная реконструкция и реставрация с сохранением исторического фасада и заменой всех инженерных систем и перекрытий. Выполнена дизайнерская отделка входной группы и вестибюля.
Кондиционирование и вентиляция централизованные.
В лотах произведены подготовительные работы под отделку "вайт бокс", выполнена штукатурка и шпаклевка стен под покраску.
Возможно выполнение проекта "под ключ" под руководством профессионального дизайнера.
Высокие потолки 3,4 м. Из окон открываются красивые виды на старинные московские постройки и храмы.
Особняк построен в середине 19 века, в 2018 году в нем была проведена полная реконструкция и реставрация фасада и здания.
В шаговой доступности от особняка расположились главные туристические объекты столицы: Кремль, Чистопрудный бульвар, парк Зарядье, театры, музеи, модные кафе и рестора ..., 4 фото</t>
  </si>
  <si>
    <t>https://www.cian.ru/sale/flat/333128008</t>
  </si>
  <si>
    <t>https://www.cian.ru/sale/flat/333127922</t>
  </si>
  <si>
    <t>Москва, Покровский бульвар, 14/5</t>
  </si>
  <si>
    <t>Вашему вниманию предлагается редкое предложение- квартира в доме, расположенном в историческом центре Москвы, на Бульварном кольце. 
Отличительной особенностью данного предложения является функциональная планировка, с окнами на две стороны, без несущих конструкций внутри, а также  в состоянии под ремонт, что позволит будущему владельцу, осуществить любые дизайнерские решения на свой вкус.
Текущая планировка предусматривает гостиную,  спальню, кухню, объединенный  санузел, кабинет и просторный коридор, лоджия. 
Высокий этаж, ориентация на две стороны: во внутренний облагороженный  внутренний  двор и тихий Малый Трехсвятительский пер. 
Дом имеет закрытую территорию, наземную парковку, во дворе детская площадка, много зелени и мест отдыха 
Жилой дом ВСНХ — памятник истории, представляющий собой шести- и семиэтажный кирпичный жилой дом с шестью подъездами. Здание было построено в 1930 году по проекту архитектора В. С. Мартыновича. В доме насчитывается 93 квартиры. С конца сентября 1940 го ..., 29 фото</t>
  </si>
  <si>
    <t>https://www.cian.ru/sale/flat/332147139</t>
  </si>
  <si>
    <t>Вашему вниманию предлагается изысканная современная квартира с уникальной дизайнерской отделкой в Соляном доме - памятнике архитектуры на 6-м этаже в 5 минутах пешком от Кремля. 
Планировка: просторная гостиная, кухня - столовая, изолированная спальня и встроенная система хранения, органично вписанная в интерьер, великолепный санузел с изолированным постирочным блоком.
В дизайне отразились насмотренность и вкус собственника, что позволило создать уникальный объект, который является продолжением истории и стиля дома, создавая ощущение вечной красоты и вневременности. Этот интерьер — не просто пространство, а настоящее произведение искусства, в котором каждая деталь имеет свою уникальную историю. В квартире царит атмосфера безупречной элегантности, где каждый элемент интерьера отражает исключительный вкус и внимательное отношение к деталям. 
Детали. В отделке использованы натуральный камень, дерево, предметы интерьера, мебель, хрустальные люстры, фурнитура и дорогой текстиль от топов ..., 25 фото</t>
  </si>
  <si>
    <t>https://www.cian.ru/sale/flat/333101838</t>
  </si>
  <si>
    <t>Продается готовая студия 20,5 м² в историческом центре Москвы — ул. Маросейка.
До Красной Площади около 10 мин пешком.
Редкий формат для центра: редкий формат собственного пространства в историческом центре Москвы: отдельная зона проживания с дизайнерским ремонтом, мебелью и техникой., при этом окно выходит в тихий двор, а не на шумную улицу. Удобный 2 этаж. Высокие потолки визуально добавляют объема и делают помещение более просторным. Окно выходит в тихий внутренний двор — редкое преимущество для центра Москвы: можно жить в одной из самых активных локаций города, но без шума улицы.
Студия полностью готова к проживанию или сдаче в аренду. Год назад сделан свежий ремонт: все чисто, аккуратно, без необходимости срочных вложений. Мебель простая, но новая и функциональная. Можно сразу заехать самому или начать сдавать.
Преимущества объекта:
 Прописка в центре Москвы
 Исторический центр Москвы
 Маросейка — одна из самых востребованных локаций ЦАО
 Высокие потолки 3,7 м
 Окна в тихий дво ..., 23 фото</t>
  </si>
  <si>
    <t>https://www.cian.ru/sale/flat/330091005</t>
  </si>
  <si>
    <t>В УСЛУГАХ АГЕНТОВ НЕ НУЖДАЕМСЯ.
Квартира требует ремонта. Два собственника. Отдельные кадастровые номера на комнаты. Все окна в тихий двор. 
Альтернативная продажа.
Экскурсионное обслуживание агентов платное., 3 фото</t>
  </si>
  <si>
    <t>https://www.cian.ru/sale/flat/334872233</t>
  </si>
  <si>
    <t>СОБСТВЕННИК. 
Продается 3-х комнатная квартира, расположена в доме "Ансамбль доходных домов Московского купеческого общества, 1912-1915 гг., архитекторы: В.В.Шервуд, А.Е.Сергеев, И.А.Герман", который имеет второе название " Дом под ангелами".  Дом расположен в историческом центре Москвы рядом с метро Китай-город. В доме в 1993 году была произведена полная реконструкция с отселением жильцов, во время которой были установлены железобетонные межэтажные перекрытия и была произведена полная замена всех коммуникаций. В 2019 году в подъезде была произведена замена лифта.  Для жителей дома организован наземный паркинг с круглосуточной охраной и видеонаблюдением.
В квартире, общей площадью 107 кв.м., в т.ч. теплая лоджия 9 кв.м., выполнен дизайнерский ремонт. Высота потолков - 3м 60см. Во всех помещениях, кроме ванной, уложен дубовый паркет с включением ценных пород дерева. Окна, двери, стеновые панели, пороги, коробки дверей и окон изготовлены из массива дуба. Подоконники выполнены из мрамора. ..., 40 фото</t>
  </si>
  <si>
    <t>https://www.cian.ru/sale/flat/333219752</t>
  </si>
  <si>
    <t>Чистые пруды</t>
  </si>
  <si>
    <t>Москва, Колпачный переулок, 6С5</t>
  </si>
  <si>
    <t>Внутри Бульварного кольца в квартале от Чистых прудов Вас ждёт уютная светлая квартира в доме эпохи конструктивизма. 
До Красной площади неспешным шагом - 15 минут, до Большого театра - 20. Район идеально насыщен инфраструктурой для жизни: магазины - от Дикси до Азбуки Вкуса, рестораны - от стритфуда до мишленовских. Новейшая поликлиника и старейшая аптека, ВШЭ и Бауманка, Третьяковская галерея и Храм Христа Спасителя - всё в пешей доступности.
Дом расположен внутри квартала, окна на обе стороны выходят в тихий ухоженный двор с закрытым периметром. Во дворе - 2 детские площадки, старинный особняк Долгоруковых, очень много зелени. Вы будете просыпаться в самом центре Москвы под шум деревьев и пенье птиц.
В квартире 3 комнаты - 2 спальни (одна с гардеробной), гостиная, а также кухня, совмещенный с/у, балкон. Все комнаты кондиционированы, установлены бойлер,  стиральная и посудомоечная машины. Теплые полы в ванной и прихожей. Кухня оборудована техникой Siemens и Bosch.
Квартира полност ..., 23 фото</t>
  </si>
  <si>
    <t>https://www.cian.ru/sale/flat/331744996</t>
  </si>
  <si>
    <t>кирпичный 4х этажный дом на 16 квартир с жб перекрытиями, 
внутри бульварного кольца, ТСЖ, 
большая придомовая территория 
с возможностью парковаться, 
шлагбаум, все 10 окон во двор 
один собственник , есть обременение(залог в банке, не ипотека)
посредникам и риэлторам просьба 
не звонить, 12 фото</t>
  </si>
  <si>
    <t>https://www.cian.ru/sale/flat/333021402</t>
  </si>
  <si>
    <t>С агентствами не сотрудничаю! 
Продается 3-комнатная квартира в самом сердце Москвы, в Хохловском переулке. Общая площадь — 65.4 кв. м, жилая — 45 кв. м, кухня — 8 кв. м. Квартира расположена на 4 этаже 5-этажного дома, построенного в 1930 году. Высокие потолки — 3.1  метра, добавляют простора и света. До станции метро Китай-город всего 12 минут пешком.
Квартира с дизайнерским ремонтом, который создает уют и стильную атмосферу. Все комнаты обставлены качественной мебелью, а кухня оснащена современной техникой. Планировка продумана до мелочей, чтобы обеспечить максимальный комфорт. Санузел совмещенный и выполнен в современном стиле. Окна квартиры выходят как на тихий двор, так и на улицу, что позволяет выбрать вид по настроению.
Дом с лифтом и мусоропроводом. Вокруг дома находятся все необходимые объекты инфраструктуры: школы, детские сады, клиники и магазины. Это идеальное место для комфортной жизни в центре столицы. 
Квартира продается без обременений, от собственника. Возможна ипо ..., 10 фото</t>
  </si>
  <si>
    <t>https://www.cian.ru/sale/flat/321672655</t>
  </si>
  <si>
    <t>Столбец</t>
  </si>
  <si>
    <t>Значение</t>
  </si>
  <si>
    <t>Индекс</t>
  </si>
  <si>
    <t>Комментарий</t>
  </si>
  <si>
    <t>не было в исходном списке пользователя, добавлено между 'без ремонта' и 'евроремонт'</t>
  </si>
  <si>
    <t>windows_view_index</t>
  </si>
  <si>
    <t>На улицу</t>
  </si>
  <si>
    <t>шумнее -&gt; ниже ценность для элитного жилья</t>
  </si>
  <si>
    <t>Во двор</t>
  </si>
  <si>
    <t>тише, часто отмечается как достоинство в текстах объявлений</t>
  </si>
  <si>
    <t>На улицу и двор</t>
  </si>
  <si>
    <t>свет с двух сторон, максимум</t>
  </si>
  <si>
    <t>низкие (&lt; 3.0 м)</t>
  </si>
  <si>
    <t>средние (3.0-3.5 м)</t>
  </si>
  <si>
    <t>высокие (&gt; 3.5 м)</t>
  </si>
  <si>
    <t>включает выбросы 7-12м (вероятно, дуплексы/пентхаусы)</t>
  </si>
  <si>
    <t>нет / NaN</t>
  </si>
  <si>
    <t>осознанный ноль, а не 'неизвестно'</t>
  </si>
  <si>
    <t>on / открытая</t>
  </si>
  <si>
    <t>наземная/открытая парковка (объединены как одна категория)</t>
  </si>
  <si>
    <t>подземная</t>
  </si>
  <si>
    <t>No</t>
  </si>
  <si>
    <t>Yes</t>
  </si>
  <si>
    <t>garbage_chute_index</t>
  </si>
  <si>
    <t>Нет</t>
  </si>
  <si>
    <t>NaN оставлен как NaN, это реально неизвестно</t>
  </si>
  <si>
    <t>Да</t>
  </si>
  <si>
    <t>passenger_elevators / freight_elevators</t>
  </si>
  <si>
    <t>число из 'Пасс (N), Груз (M)'</t>
  </si>
  <si>
    <t>N / M</t>
  </si>
  <si>
    <t>разнесено на 2 числовых столбца</t>
  </si>
  <si>
    <t>column</t>
  </si>
  <si>
    <t>description</t>
  </si>
  <si>
    <t>Порядковый номер строки</t>
  </si>
  <si>
    <t>ID объявления на ЦИАН (уникален: повторы убраны, оставлена свежая версия)</t>
  </si>
  <si>
    <t>Количество комнат (0 = студия)</t>
  </si>
  <si>
    <t>Ближайшая станция метро</t>
  </si>
  <si>
    <t>Время до метро пешком, минут</t>
  </si>
  <si>
    <t>Адрес</t>
  </si>
  <si>
    <t>Общая площадь, м²</t>
  </si>
  <si>
    <t>Натуральный логарифм общей площади (формула)</t>
  </si>
  <si>
    <t>Жилая площадь, м² (заполнена только там, где её можно надёжно отличить от кухни)</t>
  </si>
  <si>
    <t>Этаж</t>
  </si>
  <si>
    <t>Этажей в доме</t>
  </si>
  <si>
    <t>Относительный этаж: floor / total_floors (формула)</t>
  </si>
  <si>
    <t>Материал дома</t>
  </si>
  <si>
    <t>Тип парковки: on = наземная, underground = подземная, открытая, многоуровневая</t>
  </si>
  <si>
    <t>Парковка: 0 = нет, 1 = наземная/открытая, 2 = подземная</t>
  </si>
  <si>
    <t>Цена, руб. (цены в $ пересчитаны по курсу ЦБ на 17.10.2026: 83,6177 ₽/$)</t>
  </si>
  <si>
    <t>Текст описания из объявления (справочно)</t>
  </si>
  <si>
    <t>Тип ремонта (текст)</t>
  </si>
  <si>
    <t>Ремонт: 0 = без ремонта … 3 = дизайнерский</t>
  </si>
  <si>
    <t>Количество санузлов</t>
  </si>
  <si>
    <t>Высота потолков, м</t>
  </si>
  <si>
    <t>Категория высоты потолков (текст)</t>
  </si>
  <si>
    <t>Потолки: 0 = низкие (&lt;3,0 м), 1 = средние (3,0–3,5), 2 = высокие (&gt;3,5)</t>
  </si>
  <si>
    <t>Дамми: 1 = Патриаршие, 0 = группа сравнения (Китай-город и соседние станции)</t>
  </si>
  <si>
    <t>Ссылка на объявление</t>
  </si>
  <si>
    <t>Дата выгрузки: 14.07.2026 (первая) или 17.10.2026 (вторая)</t>
  </si>
  <si>
    <t>removal_step</t>
  </si>
  <si>
    <t>price_per_m2_rub</t>
  </si>
  <si>
    <t>reason_removed</t>
  </si>
  <si>
    <t>1_outliers</t>
  </si>
  <si>
    <t>Москва, Большой Козихинский переулок, 10</t>
  </si>
  <si>
    <t>Цена 99 999 999 ₽ — типичное «заглушечное» значение, не реальная цена</t>
  </si>
  <si>
    <t>Цена 13,5 млн ₽ за 97,7 м² (≈138 тыс. ₽/м², в ~7 раз ниже медианы) — вероятная ошибка в объявлении</t>
  </si>
  <si>
    <t>Цена 2,5 млн ₽ за 36 м² (≈69 тыс. ₽/м², в ~15 раз ниже медианы) — вероятная ошибка в объявлении</t>
  </si>
  <si>
    <t>Торги ГИС (продажа имущества города Москвы), не рыночное объявление; в тексте этаж 4, в карточке 1</t>
  </si>
  <si>
    <t>2_repeats</t>
  </si>
  <si>
    <t>Повтор: этот же ID есть в выгрузке 17.10.2026, оставлена более свежая версия</t>
  </si>
  <si>
    <t>Москва, Трехпрудный переулок, 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</si>
</sst>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yyyy\-mm\-dd\ h:mm:ss"/>
    <numFmt numFmtId="166" formatCode="yyyy\-mm\-dd"/>
  </numFmts>
  <fonts count="10" x14ac:knownFonts="1">
    <font>
      <sz val="11"/>
      <color theme="1"/>
      <name val="Calibri"/>
      <family val="2"/>
      <charset val="1"/>
    </font>
    <font>
      <b/>
      <sz val="11"/>
      <color theme="0"/>
      <name val="Arial"/>
      <family val="2"/>
      <charset val="1"/>
    </font>
    <font>
      <b/>
      <sz val="11"/>
      <color theme="1"/>
      <name val="Arial"/>
      <family val="2"/>
      <charset val="1"/>
    </font>
    <font>
      <b/>
      <sz val="11"/>
      <color rgb="FFFFFFFF"/>
      <name val="Arial"/>
      <family val="2"/>
      <charset val="1"/>
    </font>
    <font>
      <sz val="11"/>
      <color theme="0"/>
      <name val="Calibri"/>
      <family val="2"/>
      <charset val="1"/>
    </font>
    <font>
      <sz val="11"/>
      <name val="Arial"/>
      <family val="2"/>
      <charset val="1"/>
    </font>
    <font>
      <sz val="11"/>
      <color rgb="FF000000"/>
      <name val="Calibri"/>
      <family val="2"/>
      <charset val="1"/>
    </font>
    <font>
      <sz val="11"/>
      <color rgb="FF0000FF"/>
      <name val="Arial"/>
      <family val="2"/>
      <charset val="1"/>
    </font>
    <font>
      <b/>
      <sz val="11"/>
      <name val="Arial"/>
      <family val="2"/>
    </font>
    <font>
      <sz val="11"/>
      <name val="Arial"/>
      <family val="2"/>
    </font>
  </fonts>
  <fills count="5">
    <fill>
      <patternFill patternType="none"/>
    </fill>
    <fill>
      <patternFill patternType="gray125"/>
    </fill>
    <fill>
      <patternFill patternType="solid">
        <fgColor theme="1"/>
        <bgColor rgb="FF003300"/>
      </patternFill>
    </fill>
    <fill>
      <patternFill patternType="solid">
        <fgColor rgb="FFFFFF00"/>
        <bgColor rgb="FFFFFF00"/>
      </patternFill>
    </fill>
    <fill>
      <patternFill patternType="solid">
        <fgColor rgb="FF4472C4"/>
        <bgColor rgb="FF666699"/>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xf numFmtId="0" fontId="5" fillId="0" borderId="0" xfId="0" applyFont="1"/>
    <xf numFmtId="2" fontId="5" fillId="0" borderId="0" xfId="0" applyNumberFormat="1" applyFont="1"/>
    <xf numFmtId="0" fontId="5" fillId="0" borderId="0" xfId="0" applyFont="1" applyAlignment="1">
      <alignment wrapText="1"/>
    </xf>
    <xf numFmtId="164" fontId="0" fillId="0" borderId="0" xfId="0" applyNumberFormat="1"/>
    <xf numFmtId="165" fontId="0" fillId="0" borderId="0" xfId="0" applyNumberFormat="1"/>
    <xf numFmtId="164" fontId="6" fillId="0" borderId="0" xfId="0" applyNumberFormat="1" applyFont="1"/>
    <xf numFmtId="0" fontId="7" fillId="0" borderId="0" xfId="0" applyFont="1"/>
    <xf numFmtId="0" fontId="3" fillId="4" borderId="0" xfId="0" applyFont="1" applyFill="1"/>
    <xf numFmtId="0" fontId="8" fillId="0" borderId="0" xfId="0" applyFont="1"/>
    <xf numFmtId="0" fontId="9" fillId="0" borderId="0" xfId="0" applyFont="1"/>
    <xf numFmtId="166" fontId="9" fillId="0" borderId="0" xfId="0" applyNumberFormat="1" applyFont="1"/>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cian.ru/sale/flat/328450802" TargetMode="External"/><Relationship Id="rId21" Type="http://schemas.openxmlformats.org/officeDocument/2006/relationships/hyperlink" Target="https://www.cian.ru/sale/flat/334403030" TargetMode="External"/><Relationship Id="rId42" Type="http://schemas.openxmlformats.org/officeDocument/2006/relationships/hyperlink" Target="https://www.cian.ru/sale/flat/169514704" TargetMode="External"/><Relationship Id="rId47" Type="http://schemas.openxmlformats.org/officeDocument/2006/relationships/hyperlink" Target="https://www.cian.ru/sale/flat/329101887" TargetMode="External"/><Relationship Id="rId63" Type="http://schemas.openxmlformats.org/officeDocument/2006/relationships/hyperlink" Target="https://www.cian.ru/sale/flat/323390973" TargetMode="External"/><Relationship Id="rId68" Type="http://schemas.openxmlformats.org/officeDocument/2006/relationships/hyperlink" Target="https://www.cian.ru/sale/flat/333843808" TargetMode="External"/><Relationship Id="rId16" Type="http://schemas.openxmlformats.org/officeDocument/2006/relationships/hyperlink" Target="https://www.cian.ru/sale/flat/332910840" TargetMode="External"/><Relationship Id="rId11" Type="http://schemas.openxmlformats.org/officeDocument/2006/relationships/hyperlink" Target="https://www.cian.ru/sale/flat/330392817" TargetMode="External"/><Relationship Id="rId32" Type="http://schemas.openxmlformats.org/officeDocument/2006/relationships/hyperlink" Target="https://www.cian.ru/sale/flat/334174258" TargetMode="External"/><Relationship Id="rId37" Type="http://schemas.openxmlformats.org/officeDocument/2006/relationships/hyperlink" Target="https://www.cian.ru/sale/flat/330445034" TargetMode="External"/><Relationship Id="rId53" Type="http://schemas.openxmlformats.org/officeDocument/2006/relationships/hyperlink" Target="https://www.cian.ru/sale/flat/328717365" TargetMode="External"/><Relationship Id="rId58" Type="http://schemas.openxmlformats.org/officeDocument/2006/relationships/hyperlink" Target="https://www.cian.ru/sale/flat/334577799" TargetMode="External"/><Relationship Id="rId74" Type="http://schemas.openxmlformats.org/officeDocument/2006/relationships/hyperlink" Target="https://www.cian.ru/sale/flat/334376832" TargetMode="External"/><Relationship Id="rId79" Type="http://schemas.openxmlformats.org/officeDocument/2006/relationships/hyperlink" Target="https://www.cian.ru/sale/flat/319813441" TargetMode="External"/><Relationship Id="rId5" Type="http://schemas.openxmlformats.org/officeDocument/2006/relationships/hyperlink" Target="https://www.cian.ru/sale/flat/325560899" TargetMode="External"/><Relationship Id="rId61" Type="http://schemas.openxmlformats.org/officeDocument/2006/relationships/hyperlink" Target="https://www.cian.ru/sale/flat/334575374" TargetMode="External"/><Relationship Id="rId82" Type="http://schemas.openxmlformats.org/officeDocument/2006/relationships/hyperlink" Target="https://www.cian.ru/sale/flat/334698613" TargetMode="External"/><Relationship Id="rId19" Type="http://schemas.openxmlformats.org/officeDocument/2006/relationships/hyperlink" Target="https://www.cian.ru/sale/flat/334668415" TargetMode="External"/><Relationship Id="rId14" Type="http://schemas.openxmlformats.org/officeDocument/2006/relationships/hyperlink" Target="https://www.cian.ru/sale/flat/315037765" TargetMode="External"/><Relationship Id="rId22" Type="http://schemas.openxmlformats.org/officeDocument/2006/relationships/hyperlink" Target="https://www.cian.ru/sale/flat/334418358" TargetMode="External"/><Relationship Id="rId27" Type="http://schemas.openxmlformats.org/officeDocument/2006/relationships/hyperlink" Target="https://www.cian.ru/sale/flat/333263779" TargetMode="External"/><Relationship Id="rId30" Type="http://schemas.openxmlformats.org/officeDocument/2006/relationships/hyperlink" Target="https://www.cian.ru/sale/flat/327290040" TargetMode="External"/><Relationship Id="rId35" Type="http://schemas.openxmlformats.org/officeDocument/2006/relationships/hyperlink" Target="https://www.cian.ru/sale/flat/324878193" TargetMode="External"/><Relationship Id="rId43" Type="http://schemas.openxmlformats.org/officeDocument/2006/relationships/hyperlink" Target="https://www.cian.ru/sale/flat/334540155" TargetMode="External"/><Relationship Id="rId48" Type="http://schemas.openxmlformats.org/officeDocument/2006/relationships/hyperlink" Target="https://www.cian.ru/sale/flat/328021618" TargetMode="External"/><Relationship Id="rId56" Type="http://schemas.openxmlformats.org/officeDocument/2006/relationships/hyperlink" Target="https://www.cian.ru/sale/flat/313916510" TargetMode="External"/><Relationship Id="rId64" Type="http://schemas.openxmlformats.org/officeDocument/2006/relationships/hyperlink" Target="https://www.cian.ru/sale/flat/334214012" TargetMode="External"/><Relationship Id="rId69" Type="http://schemas.openxmlformats.org/officeDocument/2006/relationships/hyperlink" Target="https://www.cian.ru/sale/flat/329883864" TargetMode="External"/><Relationship Id="rId77" Type="http://schemas.openxmlformats.org/officeDocument/2006/relationships/hyperlink" Target="https://www.cian.ru/sale/flat/332186579" TargetMode="External"/><Relationship Id="rId8" Type="http://schemas.openxmlformats.org/officeDocument/2006/relationships/hyperlink" Target="https://www.cian.ru/sale/flat/332437315" TargetMode="External"/><Relationship Id="rId51" Type="http://schemas.openxmlformats.org/officeDocument/2006/relationships/hyperlink" Target="https://www.cian.ru/sale/flat/331362298" TargetMode="External"/><Relationship Id="rId72" Type="http://schemas.openxmlformats.org/officeDocument/2006/relationships/hyperlink" Target="https://www.cian.ru/sale/flat/334529112" TargetMode="External"/><Relationship Id="rId80" Type="http://schemas.openxmlformats.org/officeDocument/2006/relationships/hyperlink" Target="https://www.cian.ru/sale/flat/325223955" TargetMode="External"/><Relationship Id="rId3" Type="http://schemas.openxmlformats.org/officeDocument/2006/relationships/hyperlink" Target="https://www.cian.ru/sale/flat/334577905" TargetMode="External"/><Relationship Id="rId12" Type="http://schemas.openxmlformats.org/officeDocument/2006/relationships/hyperlink" Target="https://www.cian.ru/sale/flat/321701079" TargetMode="External"/><Relationship Id="rId17" Type="http://schemas.openxmlformats.org/officeDocument/2006/relationships/hyperlink" Target="https://www.cian.ru/sale/flat/332205728" TargetMode="External"/><Relationship Id="rId25" Type="http://schemas.openxmlformats.org/officeDocument/2006/relationships/hyperlink" Target="https://www.cian.ru/sale/flat/335012855" TargetMode="External"/><Relationship Id="rId33" Type="http://schemas.openxmlformats.org/officeDocument/2006/relationships/hyperlink" Target="https://www.cian.ru/sale/flat/328052141" TargetMode="External"/><Relationship Id="rId38" Type="http://schemas.openxmlformats.org/officeDocument/2006/relationships/hyperlink" Target="https://www.cian.ru/sale/flat/329878263" TargetMode="External"/><Relationship Id="rId46" Type="http://schemas.openxmlformats.org/officeDocument/2006/relationships/hyperlink" Target="https://www.cian.ru/sale/flat/333224352" TargetMode="External"/><Relationship Id="rId59" Type="http://schemas.openxmlformats.org/officeDocument/2006/relationships/hyperlink" Target="https://www.cian.ru/sale/flat/334575608" TargetMode="External"/><Relationship Id="rId67" Type="http://schemas.openxmlformats.org/officeDocument/2006/relationships/hyperlink" Target="https://www.cian.ru/sale/flat/331228852" TargetMode="External"/><Relationship Id="rId20" Type="http://schemas.openxmlformats.org/officeDocument/2006/relationships/hyperlink" Target="https://www.cian.ru/sale/flat/332908998" TargetMode="External"/><Relationship Id="rId41" Type="http://schemas.openxmlformats.org/officeDocument/2006/relationships/hyperlink" Target="https://www.cian.ru/sale/flat/329229301" TargetMode="External"/><Relationship Id="rId54" Type="http://schemas.openxmlformats.org/officeDocument/2006/relationships/hyperlink" Target="https://www.cian.ru/sale/flat/300189345" TargetMode="External"/><Relationship Id="rId62" Type="http://schemas.openxmlformats.org/officeDocument/2006/relationships/hyperlink" Target="https://www.cian.ru/sale/flat/334575318" TargetMode="External"/><Relationship Id="rId70" Type="http://schemas.openxmlformats.org/officeDocument/2006/relationships/hyperlink" Target="https://www.cian.ru/sale/flat/332805814" TargetMode="External"/><Relationship Id="rId75" Type="http://schemas.openxmlformats.org/officeDocument/2006/relationships/hyperlink" Target="https://www.cian.ru/sale/flat/334516244" TargetMode="External"/><Relationship Id="rId1" Type="http://schemas.openxmlformats.org/officeDocument/2006/relationships/hyperlink" Target="https://www.cian.ru/sale/flat/333437490" TargetMode="External"/><Relationship Id="rId6" Type="http://schemas.openxmlformats.org/officeDocument/2006/relationships/hyperlink" Target="https://www.cian.ru/sale/flat/334971178" TargetMode="External"/><Relationship Id="rId15" Type="http://schemas.openxmlformats.org/officeDocument/2006/relationships/hyperlink" Target="https://www.cian.ru/sale/flat/332909422" TargetMode="External"/><Relationship Id="rId23" Type="http://schemas.openxmlformats.org/officeDocument/2006/relationships/hyperlink" Target="https://www.cian.ru/sale/flat/333091461" TargetMode="External"/><Relationship Id="rId28" Type="http://schemas.openxmlformats.org/officeDocument/2006/relationships/hyperlink" Target="https://www.cian.ru/sale/flat/334216703" TargetMode="External"/><Relationship Id="rId36" Type="http://schemas.openxmlformats.org/officeDocument/2006/relationships/hyperlink" Target="https://www.cian.ru/sale/flat/332880340" TargetMode="External"/><Relationship Id="rId49" Type="http://schemas.openxmlformats.org/officeDocument/2006/relationships/hyperlink" Target="https://www.cian.ru/sale/flat/333119807" TargetMode="External"/><Relationship Id="rId57" Type="http://schemas.openxmlformats.org/officeDocument/2006/relationships/hyperlink" Target="https://www.cian.ru/sale/flat/333793563" TargetMode="External"/><Relationship Id="rId10" Type="http://schemas.openxmlformats.org/officeDocument/2006/relationships/hyperlink" Target="https://www.cian.ru/sale/flat/334573603" TargetMode="External"/><Relationship Id="rId31" Type="http://schemas.openxmlformats.org/officeDocument/2006/relationships/hyperlink" Target="https://www.cian.ru/sale/flat/333336239" TargetMode="External"/><Relationship Id="rId44" Type="http://schemas.openxmlformats.org/officeDocument/2006/relationships/hyperlink" Target="https://www.cian.ru/sale/flat/313191706" TargetMode="External"/><Relationship Id="rId52" Type="http://schemas.openxmlformats.org/officeDocument/2006/relationships/hyperlink" Target="https://www.cian.ru/sale/flat/328656333" TargetMode="External"/><Relationship Id="rId60" Type="http://schemas.openxmlformats.org/officeDocument/2006/relationships/hyperlink" Target="https://www.cian.ru/sale/flat/334575523" TargetMode="External"/><Relationship Id="rId65" Type="http://schemas.openxmlformats.org/officeDocument/2006/relationships/hyperlink" Target="https://www.cian.ru/sale/flat/328760948" TargetMode="External"/><Relationship Id="rId73" Type="http://schemas.openxmlformats.org/officeDocument/2006/relationships/hyperlink" Target="https://www.cian.ru/sale/flat/294674312" TargetMode="External"/><Relationship Id="rId78" Type="http://schemas.openxmlformats.org/officeDocument/2006/relationships/hyperlink" Target="https://www.cian.ru/sale/flat/332263786" TargetMode="External"/><Relationship Id="rId81" Type="http://schemas.openxmlformats.org/officeDocument/2006/relationships/hyperlink" Target="https://www.cian.ru/sale/flat/295103950" TargetMode="External"/><Relationship Id="rId4" Type="http://schemas.openxmlformats.org/officeDocument/2006/relationships/hyperlink" Target="https://www.cian.ru/sale/flat/334003883" TargetMode="External"/><Relationship Id="rId9" Type="http://schemas.openxmlformats.org/officeDocument/2006/relationships/hyperlink" Target="https://www.cian.ru/sale/flat/332759349" TargetMode="External"/><Relationship Id="rId13" Type="http://schemas.openxmlformats.org/officeDocument/2006/relationships/hyperlink" Target="https://www.cian.ru/sale/flat/333497431" TargetMode="External"/><Relationship Id="rId18" Type="http://schemas.openxmlformats.org/officeDocument/2006/relationships/hyperlink" Target="https://www.cian.ru/sale/flat/334518203" TargetMode="External"/><Relationship Id="rId39" Type="http://schemas.openxmlformats.org/officeDocument/2006/relationships/hyperlink" Target="https://www.cian.ru/sale/flat/333460745" TargetMode="External"/><Relationship Id="rId34" Type="http://schemas.openxmlformats.org/officeDocument/2006/relationships/hyperlink" Target="https://www.cian.ru/sale/flat/333736627" TargetMode="External"/><Relationship Id="rId50" Type="http://schemas.openxmlformats.org/officeDocument/2006/relationships/hyperlink" Target="https://www.cian.ru/sale/flat/333015593" TargetMode="External"/><Relationship Id="rId55" Type="http://schemas.openxmlformats.org/officeDocument/2006/relationships/hyperlink" Target="https://www.cian.ru/sale/flat/326582339" TargetMode="External"/><Relationship Id="rId76" Type="http://schemas.openxmlformats.org/officeDocument/2006/relationships/hyperlink" Target="https://www.cian.ru/sale/flat/332589940" TargetMode="External"/><Relationship Id="rId7" Type="http://schemas.openxmlformats.org/officeDocument/2006/relationships/hyperlink" Target="https://www.cian.ru/sale/flat/330850234" TargetMode="External"/><Relationship Id="rId71" Type="http://schemas.openxmlformats.org/officeDocument/2006/relationships/hyperlink" Target="https://www.cian.ru/sale/flat/294650782" TargetMode="External"/><Relationship Id="rId2" Type="http://schemas.openxmlformats.org/officeDocument/2006/relationships/hyperlink" Target="https://www.cian.ru/sale/flat/328450804" TargetMode="External"/><Relationship Id="rId29" Type="http://schemas.openxmlformats.org/officeDocument/2006/relationships/hyperlink" Target="https://www.cian.ru/sale/flat/324623215" TargetMode="External"/><Relationship Id="rId24" Type="http://schemas.openxmlformats.org/officeDocument/2006/relationships/hyperlink" Target="https://www.cian.ru/sale/flat/332950705" TargetMode="External"/><Relationship Id="rId40" Type="http://schemas.openxmlformats.org/officeDocument/2006/relationships/hyperlink" Target="https://www.cian.ru/sale/flat/333734839" TargetMode="External"/><Relationship Id="rId45" Type="http://schemas.openxmlformats.org/officeDocument/2006/relationships/hyperlink" Target="https://www.cian.ru/sale/flat/332470531" TargetMode="External"/><Relationship Id="rId66" Type="http://schemas.openxmlformats.org/officeDocument/2006/relationships/hyperlink" Target="https://www.cian.ru/sale/flat/3313279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26"/>
  <sheetViews>
    <sheetView tabSelected="1" topLeftCell="F1" zoomScale="116" zoomScaleNormal="60" workbookViewId="0">
      <pane ySplit="1" topLeftCell="A5" activePane="bottomLeft" state="frozen"/>
      <selection activeCell="T1" sqref="T1"/>
      <selection pane="bottomLeft" activeCell="O2" sqref="O2"/>
    </sheetView>
  </sheetViews>
  <sheetFormatPr baseColWidth="10" defaultColWidth="8.6640625" defaultRowHeight="15" x14ac:dyDescent="0.2"/>
  <cols>
    <col min="1" max="1" width="11" customWidth="1"/>
    <col min="2" max="2" width="19" customWidth="1"/>
    <col min="3" max="3" width="9" customWidth="1"/>
    <col min="4" max="4" width="17" customWidth="1"/>
    <col min="5" max="5" width="18" customWidth="1"/>
    <col min="6" max="6" width="35" customWidth="1"/>
    <col min="7" max="8" width="17" customWidth="1"/>
    <col min="9" max="9" width="18" customWidth="1"/>
    <col min="10" max="10" width="9" customWidth="1"/>
    <col min="11" max="11" width="16" customWidth="1"/>
    <col min="12" max="12" width="15" customWidth="1"/>
    <col min="13" max="13" width="21" customWidth="1"/>
    <col min="14" max="14" width="16" customWidth="1"/>
    <col min="15" max="15" width="17" customWidth="1"/>
    <col min="16" max="16" width="14" customWidth="1"/>
    <col min="17" max="17" width="60" customWidth="1"/>
    <col min="18" max="18" width="19" customWidth="1"/>
    <col min="19" max="19" width="20" customWidth="1"/>
    <col min="20" max="20" width="19" customWidth="1"/>
    <col min="21" max="21" width="20" customWidth="1"/>
    <col min="22" max="22" width="27" customWidth="1"/>
    <col min="23" max="23" width="24" customWidth="1"/>
    <col min="24" max="24" width="17" customWidth="1"/>
    <col min="25" max="25" width="30" customWidth="1"/>
    <col min="27" max="27" width="24" customWidth="1"/>
  </cols>
  <sheetData>
    <row r="1" spans="1:27" ht="15" customHeight="1" x14ac:dyDescent="0.2">
      <c r="A1" s="1" t="s">
        <v>0</v>
      </c>
      <c r="B1" s="1" t="s">
        <v>1</v>
      </c>
      <c r="C1" s="1" t="s">
        <v>2</v>
      </c>
      <c r="D1" s="1" t="s">
        <v>3</v>
      </c>
      <c r="E1" s="1" t="s">
        <v>4</v>
      </c>
      <c r="F1" s="1" t="s">
        <v>5</v>
      </c>
      <c r="G1" s="1" t="s">
        <v>6</v>
      </c>
      <c r="H1" s="2" t="s">
        <v>7</v>
      </c>
      <c r="I1" s="1" t="s">
        <v>8</v>
      </c>
      <c r="J1" s="1" t="s">
        <v>9</v>
      </c>
      <c r="K1" s="1" t="s">
        <v>10</v>
      </c>
      <c r="L1" s="2" t="s">
        <v>11</v>
      </c>
      <c r="M1" s="3" t="s">
        <v>12</v>
      </c>
      <c r="N1" s="3" t="s">
        <v>13</v>
      </c>
      <c r="O1" s="2" t="s">
        <v>14</v>
      </c>
      <c r="P1" s="3" t="s">
        <v>15</v>
      </c>
      <c r="Q1" s="3" t="s">
        <v>16</v>
      </c>
      <c r="R1" s="3" t="s">
        <v>17</v>
      </c>
      <c r="S1" s="2" t="s">
        <v>18</v>
      </c>
      <c r="T1" s="3" t="s">
        <v>19</v>
      </c>
      <c r="U1" s="3" t="s">
        <v>20</v>
      </c>
      <c r="V1" s="2" t="s">
        <v>21</v>
      </c>
      <c r="W1" s="2" t="s">
        <v>22</v>
      </c>
      <c r="X1" s="2" t="s">
        <v>23</v>
      </c>
      <c r="Y1" s="3" t="s">
        <v>24</v>
      </c>
      <c r="AA1" s="4" t="s">
        <v>25</v>
      </c>
    </row>
    <row r="2" spans="1:27" ht="342.75" customHeight="1" x14ac:dyDescent="0.2">
      <c r="A2" s="5">
        <v>1</v>
      </c>
      <c r="B2" s="5">
        <v>327564269</v>
      </c>
      <c r="C2" s="5">
        <v>2</v>
      </c>
      <c r="D2" s="5" t="s">
        <v>26</v>
      </c>
      <c r="E2" s="5">
        <v>9</v>
      </c>
      <c r="F2" s="5" t="s">
        <v>27</v>
      </c>
      <c r="G2" s="5">
        <v>54.3</v>
      </c>
      <c r="H2" s="5">
        <f t="shared" ref="H2:H65" si="0">LN(G2)</f>
        <v>3.9945242269398897</v>
      </c>
      <c r="I2" s="5"/>
      <c r="J2" s="5">
        <v>3</v>
      </c>
      <c r="K2" s="5">
        <v>6</v>
      </c>
      <c r="L2" s="6">
        <f t="shared" ref="L2:L65" si="1">J2/K2</f>
        <v>0.5</v>
      </c>
      <c r="M2" s="5" t="s">
        <v>28</v>
      </c>
      <c r="N2" s="5"/>
      <c r="O2" s="5">
        <v>0</v>
      </c>
      <c r="P2" s="5">
        <v>44000000</v>
      </c>
      <c r="Q2" s="7" t="s">
        <v>29</v>
      </c>
      <c r="R2" s="5" t="s">
        <v>30</v>
      </c>
      <c r="S2" s="5">
        <v>2</v>
      </c>
      <c r="T2" s="5">
        <v>1</v>
      </c>
      <c r="U2" s="5">
        <v>3.6</v>
      </c>
      <c r="V2" s="5" t="s">
        <v>31</v>
      </c>
      <c r="W2" s="5">
        <v>2</v>
      </c>
      <c r="X2" s="5">
        <v>1</v>
      </c>
      <c r="Y2" s="5" t="s">
        <v>32</v>
      </c>
      <c r="AA2" s="8">
        <v>46217</v>
      </c>
    </row>
    <row r="3" spans="1:27" ht="342.75" customHeight="1" x14ac:dyDescent="0.2">
      <c r="A3" s="5">
        <v>2</v>
      </c>
      <c r="B3" s="5">
        <v>330583850</v>
      </c>
      <c r="C3" s="5">
        <v>5</v>
      </c>
      <c r="D3" s="5" t="s">
        <v>33</v>
      </c>
      <c r="E3" s="5">
        <v>13</v>
      </c>
      <c r="F3" s="5" t="s">
        <v>34</v>
      </c>
      <c r="G3" s="5">
        <v>332.2</v>
      </c>
      <c r="H3" s="5">
        <f t="shared" si="0"/>
        <v>5.8057371971791945</v>
      </c>
      <c r="I3" s="5">
        <v>305</v>
      </c>
      <c r="J3" s="5">
        <v>2</v>
      </c>
      <c r="K3" s="5">
        <v>9</v>
      </c>
      <c r="L3" s="6">
        <f t="shared" si="1"/>
        <v>0.22222222222222221</v>
      </c>
      <c r="M3" s="5" t="s">
        <v>28</v>
      </c>
      <c r="N3" s="5" t="s">
        <v>35</v>
      </c>
      <c r="O3" s="5">
        <v>2</v>
      </c>
      <c r="P3" s="5">
        <v>1045221250</v>
      </c>
      <c r="Q3" s="7" t="s">
        <v>36</v>
      </c>
      <c r="R3" s="5" t="s">
        <v>37</v>
      </c>
      <c r="S3" s="5">
        <v>3</v>
      </c>
      <c r="T3" s="5">
        <v>4</v>
      </c>
      <c r="U3" s="5">
        <v>3.4</v>
      </c>
      <c r="V3" s="5" t="s">
        <v>38</v>
      </c>
      <c r="W3" s="5">
        <v>1</v>
      </c>
      <c r="X3" s="5">
        <v>1</v>
      </c>
      <c r="Y3" s="5" t="s">
        <v>39</v>
      </c>
      <c r="AA3" s="8">
        <v>46217</v>
      </c>
    </row>
    <row r="4" spans="1:27" ht="342.75" customHeight="1" x14ac:dyDescent="0.2">
      <c r="A4" s="5">
        <v>3</v>
      </c>
      <c r="B4" s="5">
        <v>330950257</v>
      </c>
      <c r="C4" s="5">
        <v>4</v>
      </c>
      <c r="D4" s="5" t="s">
        <v>33</v>
      </c>
      <c r="E4" s="5">
        <v>13</v>
      </c>
      <c r="F4" s="5" t="s">
        <v>34</v>
      </c>
      <c r="G4" s="5">
        <v>163.5</v>
      </c>
      <c r="H4" s="5">
        <f t="shared" si="0"/>
        <v>5.0968129903373081</v>
      </c>
      <c r="I4" s="5"/>
      <c r="J4" s="5">
        <v>2</v>
      </c>
      <c r="K4" s="5">
        <v>9</v>
      </c>
      <c r="L4" s="6">
        <f t="shared" si="1"/>
        <v>0.22222222222222221</v>
      </c>
      <c r="M4" s="5"/>
      <c r="N4" s="5" t="s">
        <v>35</v>
      </c>
      <c r="O4" s="5">
        <v>2</v>
      </c>
      <c r="P4" s="5">
        <v>445000000</v>
      </c>
      <c r="Q4" s="7" t="s">
        <v>40</v>
      </c>
      <c r="R4" s="5" t="s">
        <v>41</v>
      </c>
      <c r="S4" s="5">
        <v>0</v>
      </c>
      <c r="T4" s="5">
        <v>3</v>
      </c>
      <c r="U4" s="5">
        <v>3.7</v>
      </c>
      <c r="V4" s="5" t="s">
        <v>31</v>
      </c>
      <c r="W4" s="5">
        <v>2</v>
      </c>
      <c r="X4" s="5">
        <v>1</v>
      </c>
      <c r="Y4" s="5" t="s">
        <v>42</v>
      </c>
      <c r="AA4" s="9">
        <v>46217</v>
      </c>
    </row>
    <row r="5" spans="1:27" ht="384.75" customHeight="1" x14ac:dyDescent="0.2">
      <c r="A5" s="5">
        <v>4</v>
      </c>
      <c r="B5" s="5">
        <v>329526731</v>
      </c>
      <c r="C5" s="5">
        <v>3</v>
      </c>
      <c r="D5" s="5" t="s">
        <v>26</v>
      </c>
      <c r="E5" s="5">
        <v>10</v>
      </c>
      <c r="F5" s="5" t="s">
        <v>43</v>
      </c>
      <c r="G5" s="5">
        <v>137.1</v>
      </c>
      <c r="H5" s="5">
        <f t="shared" si="0"/>
        <v>4.9207105865682683</v>
      </c>
      <c r="I5" s="5">
        <v>75</v>
      </c>
      <c r="J5" s="5">
        <v>2</v>
      </c>
      <c r="K5" s="5">
        <v>7</v>
      </c>
      <c r="L5" s="6">
        <f t="shared" si="1"/>
        <v>0.2857142857142857</v>
      </c>
      <c r="M5" s="5" t="s">
        <v>44</v>
      </c>
      <c r="N5" s="5" t="s">
        <v>35</v>
      </c>
      <c r="O5" s="5">
        <v>2</v>
      </c>
      <c r="P5" s="5">
        <v>520000000</v>
      </c>
      <c r="Q5" s="7" t="s">
        <v>45</v>
      </c>
      <c r="R5" s="5" t="s">
        <v>37</v>
      </c>
      <c r="S5" s="5">
        <v>3</v>
      </c>
      <c r="T5" s="5">
        <v>3</v>
      </c>
      <c r="U5" s="5">
        <v>3.25</v>
      </c>
      <c r="V5" s="5" t="s">
        <v>38</v>
      </c>
      <c r="W5" s="5">
        <v>1</v>
      </c>
      <c r="X5" s="5">
        <v>1</v>
      </c>
      <c r="Y5" s="5" t="s">
        <v>46</v>
      </c>
      <c r="AA5" s="9">
        <v>46217</v>
      </c>
    </row>
    <row r="6" spans="1:27" ht="399" customHeight="1" x14ac:dyDescent="0.2">
      <c r="A6" s="5">
        <v>5</v>
      </c>
      <c r="B6" s="5">
        <v>320034913</v>
      </c>
      <c r="C6" s="5">
        <v>5</v>
      </c>
      <c r="D6" s="5" t="s">
        <v>26</v>
      </c>
      <c r="E6" s="5">
        <v>7</v>
      </c>
      <c r="F6" s="5" t="s">
        <v>47</v>
      </c>
      <c r="G6" s="5">
        <v>160</v>
      </c>
      <c r="H6" s="5">
        <f t="shared" si="0"/>
        <v>5.0751738152338266</v>
      </c>
      <c r="I6" s="5">
        <v>139.9</v>
      </c>
      <c r="J6" s="5">
        <v>8</v>
      </c>
      <c r="K6" s="5">
        <v>10</v>
      </c>
      <c r="L6" s="6">
        <f t="shared" si="1"/>
        <v>0.8</v>
      </c>
      <c r="M6" s="5" t="s">
        <v>44</v>
      </c>
      <c r="N6" s="5" t="s">
        <v>35</v>
      </c>
      <c r="O6" s="5">
        <v>2</v>
      </c>
      <c r="P6" s="5">
        <v>242491330</v>
      </c>
      <c r="Q6" s="7" t="s">
        <v>48</v>
      </c>
      <c r="R6" s="5" t="s">
        <v>37</v>
      </c>
      <c r="S6" s="5">
        <v>3</v>
      </c>
      <c r="T6" s="5">
        <v>6</v>
      </c>
      <c r="U6" s="5">
        <v>3</v>
      </c>
      <c r="V6" s="5" t="s">
        <v>38</v>
      </c>
      <c r="W6" s="5">
        <v>1</v>
      </c>
      <c r="X6" s="5">
        <v>1</v>
      </c>
      <c r="Y6" s="5" t="s">
        <v>49</v>
      </c>
      <c r="AA6" s="9">
        <v>46217</v>
      </c>
    </row>
    <row r="7" spans="1:27" ht="370.5" customHeight="1" x14ac:dyDescent="0.2">
      <c r="A7" s="5">
        <v>6</v>
      </c>
      <c r="B7" s="5">
        <v>330813938</v>
      </c>
      <c r="C7" s="5">
        <v>2</v>
      </c>
      <c r="D7" s="5" t="s">
        <v>26</v>
      </c>
      <c r="E7" s="5">
        <v>8</v>
      </c>
      <c r="F7" s="5" t="s">
        <v>50</v>
      </c>
      <c r="G7" s="5">
        <v>55.1</v>
      </c>
      <c r="H7" s="5">
        <f t="shared" si="0"/>
        <v>4.0091497161588689</v>
      </c>
      <c r="I7" s="5"/>
      <c r="J7" s="5">
        <v>7</v>
      </c>
      <c r="K7" s="5">
        <v>9</v>
      </c>
      <c r="L7" s="6">
        <f t="shared" si="1"/>
        <v>0.77777777777777779</v>
      </c>
      <c r="M7" s="5"/>
      <c r="N7" s="5"/>
      <c r="O7" s="5">
        <v>0</v>
      </c>
      <c r="P7" s="5">
        <v>59000000</v>
      </c>
      <c r="Q7" s="7" t="s">
        <v>51</v>
      </c>
      <c r="R7" s="5" t="s">
        <v>37</v>
      </c>
      <c r="S7" s="5">
        <v>3</v>
      </c>
      <c r="T7" s="5">
        <v>1</v>
      </c>
      <c r="U7" s="5">
        <v>2.7</v>
      </c>
      <c r="V7" s="5" t="s">
        <v>52</v>
      </c>
      <c r="W7" s="5">
        <v>0</v>
      </c>
      <c r="X7" s="5">
        <v>1</v>
      </c>
      <c r="Y7" s="5" t="s">
        <v>53</v>
      </c>
      <c r="AA7" s="9">
        <v>46217</v>
      </c>
    </row>
    <row r="8" spans="1:27" ht="409.5" customHeight="1" x14ac:dyDescent="0.2">
      <c r="A8" s="5">
        <v>7</v>
      </c>
      <c r="B8" s="5">
        <v>313946912</v>
      </c>
      <c r="C8" s="5">
        <v>3</v>
      </c>
      <c r="D8" s="5" t="s">
        <v>54</v>
      </c>
      <c r="E8" s="5">
        <v>10</v>
      </c>
      <c r="F8" s="5" t="s">
        <v>43</v>
      </c>
      <c r="G8" s="5">
        <v>137</v>
      </c>
      <c r="H8" s="5">
        <f t="shared" si="0"/>
        <v>4.9199809258281251</v>
      </c>
      <c r="I8" s="5">
        <v>100</v>
      </c>
      <c r="J8" s="5">
        <v>2</v>
      </c>
      <c r="K8" s="5">
        <v>7</v>
      </c>
      <c r="L8" s="6">
        <f t="shared" si="1"/>
        <v>0.2857142857142857</v>
      </c>
      <c r="M8" s="5" t="s">
        <v>44</v>
      </c>
      <c r="N8" s="5" t="s">
        <v>35</v>
      </c>
      <c r="O8" s="5">
        <v>2</v>
      </c>
      <c r="P8" s="5">
        <v>520000000</v>
      </c>
      <c r="Q8" s="7" t="s">
        <v>55</v>
      </c>
      <c r="R8" s="5" t="s">
        <v>37</v>
      </c>
      <c r="S8" s="5">
        <v>3</v>
      </c>
      <c r="T8" s="5">
        <v>3</v>
      </c>
      <c r="U8" s="5"/>
      <c r="V8" s="5"/>
      <c r="W8" s="5"/>
      <c r="X8" s="5">
        <v>1</v>
      </c>
      <c r="Y8" s="5" t="s">
        <v>56</v>
      </c>
      <c r="AA8" s="9">
        <v>46217</v>
      </c>
    </row>
    <row r="9" spans="1:27" ht="399" customHeight="1" x14ac:dyDescent="0.2">
      <c r="A9" s="5">
        <v>8</v>
      </c>
      <c r="B9" s="5">
        <v>312477508</v>
      </c>
      <c r="C9" s="5">
        <v>3</v>
      </c>
      <c r="D9" s="5" t="s">
        <v>54</v>
      </c>
      <c r="E9" s="5">
        <v>10</v>
      </c>
      <c r="F9" s="5" t="s">
        <v>43</v>
      </c>
      <c r="G9" s="5">
        <v>137</v>
      </c>
      <c r="H9" s="5">
        <f t="shared" si="0"/>
        <v>4.9199809258281251</v>
      </c>
      <c r="I9" s="5">
        <v>95</v>
      </c>
      <c r="J9" s="5">
        <v>2</v>
      </c>
      <c r="K9" s="5">
        <v>7</v>
      </c>
      <c r="L9" s="6">
        <f t="shared" si="1"/>
        <v>0.2857142857142857</v>
      </c>
      <c r="M9" s="5" t="s">
        <v>57</v>
      </c>
      <c r="N9" s="5" t="s">
        <v>35</v>
      </c>
      <c r="O9" s="5">
        <v>2</v>
      </c>
      <c r="P9" s="5">
        <v>570000000</v>
      </c>
      <c r="Q9" s="7" t="s">
        <v>58</v>
      </c>
      <c r="R9" s="5" t="s">
        <v>30</v>
      </c>
      <c r="S9" s="5">
        <v>2</v>
      </c>
      <c r="T9" s="5">
        <v>3</v>
      </c>
      <c r="U9" s="5"/>
      <c r="V9" s="5"/>
      <c r="W9" s="5"/>
      <c r="X9" s="5">
        <v>1</v>
      </c>
      <c r="Y9" s="5" t="s">
        <v>59</v>
      </c>
      <c r="AA9" s="9">
        <v>46217</v>
      </c>
    </row>
    <row r="10" spans="1:27" ht="270.75" customHeight="1" x14ac:dyDescent="0.2">
      <c r="A10" s="5">
        <v>9</v>
      </c>
      <c r="B10" s="5">
        <v>327750848</v>
      </c>
      <c r="C10" s="5">
        <v>5</v>
      </c>
      <c r="D10" s="5" t="s">
        <v>26</v>
      </c>
      <c r="E10" s="5">
        <v>12</v>
      </c>
      <c r="F10" s="5" t="s">
        <v>60</v>
      </c>
      <c r="G10" s="5">
        <v>126</v>
      </c>
      <c r="H10" s="5">
        <f t="shared" si="0"/>
        <v>4.836281906951478</v>
      </c>
      <c r="I10" s="5">
        <v>94</v>
      </c>
      <c r="J10" s="5">
        <v>1</v>
      </c>
      <c r="K10" s="5">
        <v>5</v>
      </c>
      <c r="L10" s="6">
        <f t="shared" si="1"/>
        <v>0.2</v>
      </c>
      <c r="M10" s="5" t="s">
        <v>28</v>
      </c>
      <c r="N10" s="5" t="s">
        <v>61</v>
      </c>
      <c r="O10" s="5">
        <v>1</v>
      </c>
      <c r="P10" s="5">
        <v>106000000</v>
      </c>
      <c r="Q10" s="7" t="s">
        <v>62</v>
      </c>
      <c r="R10" s="5" t="s">
        <v>37</v>
      </c>
      <c r="S10" s="5">
        <v>3</v>
      </c>
      <c r="T10" s="5">
        <v>4</v>
      </c>
      <c r="U10" s="5"/>
      <c r="V10" s="5"/>
      <c r="W10" s="5"/>
      <c r="X10" s="5">
        <v>1</v>
      </c>
      <c r="Y10" s="5" t="s">
        <v>63</v>
      </c>
      <c r="AA10" s="9">
        <v>46217</v>
      </c>
    </row>
    <row r="11" spans="1:27" ht="315" customHeight="1" x14ac:dyDescent="0.2">
      <c r="A11" s="5">
        <v>10</v>
      </c>
      <c r="B11" s="5">
        <v>326599816</v>
      </c>
      <c r="C11" s="5">
        <v>2</v>
      </c>
      <c r="D11" s="5" t="s">
        <v>64</v>
      </c>
      <c r="E11" s="5">
        <v>2</v>
      </c>
      <c r="F11" s="5" t="s">
        <v>65</v>
      </c>
      <c r="G11" s="5">
        <v>62</v>
      </c>
      <c r="H11" s="5">
        <f t="shared" si="0"/>
        <v>4.1271343850450917</v>
      </c>
      <c r="I11" s="5">
        <v>39</v>
      </c>
      <c r="J11" s="5">
        <v>4</v>
      </c>
      <c r="K11" s="5">
        <v>8</v>
      </c>
      <c r="L11" s="6">
        <f t="shared" si="1"/>
        <v>0.5</v>
      </c>
      <c r="M11" s="5" t="s">
        <v>66</v>
      </c>
      <c r="N11" s="5" t="s">
        <v>67</v>
      </c>
      <c r="O11" s="5">
        <v>1</v>
      </c>
      <c r="P11" s="5">
        <v>40900000</v>
      </c>
      <c r="Q11" s="7" t="s">
        <v>68</v>
      </c>
      <c r="R11" s="5" t="s">
        <v>30</v>
      </c>
      <c r="S11" s="5">
        <v>2</v>
      </c>
      <c r="T11" s="5">
        <v>2</v>
      </c>
      <c r="U11" s="5">
        <v>3</v>
      </c>
      <c r="V11" s="5" t="s">
        <v>38</v>
      </c>
      <c r="W11" s="5">
        <v>1</v>
      </c>
      <c r="X11" s="5">
        <v>1</v>
      </c>
      <c r="Y11" s="5" t="s">
        <v>69</v>
      </c>
      <c r="AA11" s="9">
        <v>46217</v>
      </c>
    </row>
    <row r="12" spans="1:27" ht="135.75" customHeight="1" x14ac:dyDescent="0.2">
      <c r="A12" s="5">
        <v>11</v>
      </c>
      <c r="B12" s="5">
        <v>331813349</v>
      </c>
      <c r="C12" s="5">
        <v>5</v>
      </c>
      <c r="D12" s="5" t="s">
        <v>33</v>
      </c>
      <c r="E12" s="5">
        <v>10</v>
      </c>
      <c r="F12" s="5" t="s">
        <v>70</v>
      </c>
      <c r="G12" s="5">
        <v>186</v>
      </c>
      <c r="H12" s="5">
        <f t="shared" si="0"/>
        <v>5.2257466737132017</v>
      </c>
      <c r="I12" s="5"/>
      <c r="J12" s="5">
        <v>3</v>
      </c>
      <c r="K12" s="5">
        <v>6</v>
      </c>
      <c r="L12" s="6">
        <f t="shared" si="1"/>
        <v>0.5</v>
      </c>
      <c r="M12" s="5" t="s">
        <v>28</v>
      </c>
      <c r="N12" s="5" t="s">
        <v>61</v>
      </c>
      <c r="O12" s="5">
        <v>1</v>
      </c>
      <c r="P12" s="5">
        <v>180000000</v>
      </c>
      <c r="Q12" s="7" t="s">
        <v>71</v>
      </c>
      <c r="R12" s="5" t="s">
        <v>30</v>
      </c>
      <c r="S12" s="5">
        <v>2</v>
      </c>
      <c r="T12" s="5">
        <v>2</v>
      </c>
      <c r="U12" s="5">
        <v>3.2</v>
      </c>
      <c r="V12" s="5" t="s">
        <v>38</v>
      </c>
      <c r="W12" s="5">
        <v>1</v>
      </c>
      <c r="X12" s="5">
        <v>1</v>
      </c>
      <c r="Y12" s="5" t="s">
        <v>72</v>
      </c>
      <c r="AA12" s="9">
        <v>46217</v>
      </c>
    </row>
    <row r="13" spans="1:27" ht="328.5" customHeight="1" x14ac:dyDescent="0.2">
      <c r="A13" s="5">
        <v>12</v>
      </c>
      <c r="B13" s="5">
        <v>330951739</v>
      </c>
      <c r="C13" s="5">
        <v>4</v>
      </c>
      <c r="D13" s="5" t="s">
        <v>54</v>
      </c>
      <c r="E13" s="5">
        <v>3</v>
      </c>
      <c r="F13" s="5" t="s">
        <v>73</v>
      </c>
      <c r="G13" s="5">
        <v>255</v>
      </c>
      <c r="H13" s="5">
        <f t="shared" si="0"/>
        <v>5.5412635451584258</v>
      </c>
      <c r="I13" s="5"/>
      <c r="J13" s="5">
        <v>4</v>
      </c>
      <c r="K13" s="5">
        <v>4</v>
      </c>
      <c r="L13" s="6">
        <f t="shared" si="1"/>
        <v>1</v>
      </c>
      <c r="M13" s="5"/>
      <c r="N13" s="5" t="s">
        <v>61</v>
      </c>
      <c r="O13" s="5">
        <v>1</v>
      </c>
      <c r="P13" s="5">
        <v>160000000</v>
      </c>
      <c r="Q13" s="7" t="s">
        <v>74</v>
      </c>
      <c r="R13" s="5" t="s">
        <v>37</v>
      </c>
      <c r="S13" s="5">
        <v>3</v>
      </c>
      <c r="T13" s="5">
        <v>8</v>
      </c>
      <c r="U13" s="5">
        <v>4.5</v>
      </c>
      <c r="V13" s="5" t="s">
        <v>31</v>
      </c>
      <c r="W13" s="5">
        <v>2</v>
      </c>
      <c r="X13" s="5">
        <v>1</v>
      </c>
      <c r="Y13" s="5" t="s">
        <v>75</v>
      </c>
      <c r="AA13" s="9">
        <v>46217</v>
      </c>
    </row>
    <row r="14" spans="1:27" ht="357" customHeight="1" x14ac:dyDescent="0.2">
      <c r="A14" s="5">
        <v>13</v>
      </c>
      <c r="B14" s="5">
        <v>324944297</v>
      </c>
      <c r="C14" s="5">
        <v>3</v>
      </c>
      <c r="D14" s="5" t="s">
        <v>54</v>
      </c>
      <c r="E14" s="5">
        <v>8</v>
      </c>
      <c r="F14" s="5" t="s">
        <v>76</v>
      </c>
      <c r="G14" s="5">
        <v>56.6</v>
      </c>
      <c r="H14" s="5">
        <f t="shared" si="0"/>
        <v>4.0360089852091372</v>
      </c>
      <c r="I14" s="5"/>
      <c r="J14" s="5">
        <v>2</v>
      </c>
      <c r="K14" s="5">
        <v>4</v>
      </c>
      <c r="L14" s="6">
        <f t="shared" si="1"/>
        <v>0.5</v>
      </c>
      <c r="M14" s="5" t="s">
        <v>28</v>
      </c>
      <c r="N14" s="5" t="s">
        <v>61</v>
      </c>
      <c r="O14" s="5">
        <v>1</v>
      </c>
      <c r="P14" s="5">
        <v>49800000</v>
      </c>
      <c r="Q14" s="7" t="s">
        <v>77</v>
      </c>
      <c r="R14" s="5" t="s">
        <v>37</v>
      </c>
      <c r="S14" s="5">
        <v>3</v>
      </c>
      <c r="T14" s="5">
        <v>1</v>
      </c>
      <c r="U14" s="5">
        <v>3</v>
      </c>
      <c r="V14" s="5" t="s">
        <v>38</v>
      </c>
      <c r="W14" s="5">
        <v>1</v>
      </c>
      <c r="X14" s="5">
        <v>1</v>
      </c>
      <c r="Y14" s="5" t="s">
        <v>78</v>
      </c>
      <c r="AA14" s="9">
        <v>46217</v>
      </c>
    </row>
    <row r="15" spans="1:27" ht="315" customHeight="1" x14ac:dyDescent="0.2">
      <c r="A15" s="5">
        <v>14</v>
      </c>
      <c r="B15" s="5">
        <v>327931969</v>
      </c>
      <c r="C15" s="5">
        <v>4</v>
      </c>
      <c r="D15" s="5" t="s">
        <v>64</v>
      </c>
      <c r="E15" s="5">
        <v>8</v>
      </c>
      <c r="F15" s="5" t="s">
        <v>79</v>
      </c>
      <c r="G15" s="5">
        <v>190</v>
      </c>
      <c r="H15" s="5">
        <f t="shared" si="0"/>
        <v>5.2470240721604862</v>
      </c>
      <c r="I15" s="5">
        <v>150</v>
      </c>
      <c r="J15" s="5">
        <v>4</v>
      </c>
      <c r="K15" s="5">
        <v>6</v>
      </c>
      <c r="L15" s="6">
        <f t="shared" si="1"/>
        <v>0.66666666666666663</v>
      </c>
      <c r="M15" s="5" t="s">
        <v>28</v>
      </c>
      <c r="N15" s="5" t="s">
        <v>61</v>
      </c>
      <c r="O15" s="5">
        <v>1</v>
      </c>
      <c r="P15" s="5">
        <v>299000000</v>
      </c>
      <c r="Q15" s="7" t="s">
        <v>80</v>
      </c>
      <c r="R15" s="5" t="s">
        <v>37</v>
      </c>
      <c r="S15" s="5">
        <v>3</v>
      </c>
      <c r="T15" s="5"/>
      <c r="U15" s="5">
        <v>3.2</v>
      </c>
      <c r="V15" s="5" t="s">
        <v>38</v>
      </c>
      <c r="W15" s="5">
        <v>1</v>
      </c>
      <c r="X15" s="5">
        <v>1</v>
      </c>
      <c r="Y15" s="5" t="s">
        <v>81</v>
      </c>
      <c r="AA15" s="9">
        <v>46217</v>
      </c>
    </row>
    <row r="16" spans="1:27" ht="315" customHeight="1" x14ac:dyDescent="0.2">
      <c r="A16" s="5">
        <v>15</v>
      </c>
      <c r="B16" s="5">
        <v>328977586</v>
      </c>
      <c r="C16" s="5">
        <v>3</v>
      </c>
      <c r="D16" s="5" t="s">
        <v>26</v>
      </c>
      <c r="E16" s="5">
        <v>6</v>
      </c>
      <c r="F16" s="5" t="s">
        <v>82</v>
      </c>
      <c r="G16" s="5">
        <v>120</v>
      </c>
      <c r="H16" s="5">
        <f t="shared" si="0"/>
        <v>4.7874917427820458</v>
      </c>
      <c r="I16" s="5">
        <v>73</v>
      </c>
      <c r="J16" s="5">
        <v>4</v>
      </c>
      <c r="K16" s="5">
        <v>7</v>
      </c>
      <c r="L16" s="6">
        <f t="shared" si="1"/>
        <v>0.5714285714285714</v>
      </c>
      <c r="M16" s="5" t="s">
        <v>44</v>
      </c>
      <c r="N16" s="5" t="s">
        <v>67</v>
      </c>
      <c r="O16" s="5">
        <v>1</v>
      </c>
      <c r="P16" s="5">
        <v>140000000</v>
      </c>
      <c r="Q16" s="7" t="s">
        <v>83</v>
      </c>
      <c r="R16" s="5" t="s">
        <v>41</v>
      </c>
      <c r="S16" s="5">
        <v>0</v>
      </c>
      <c r="T16" s="5">
        <v>2</v>
      </c>
      <c r="U16" s="5"/>
      <c r="V16" s="5"/>
      <c r="W16" s="5"/>
      <c r="X16" s="5">
        <v>1</v>
      </c>
      <c r="Y16" s="5" t="s">
        <v>84</v>
      </c>
      <c r="AA16" s="9">
        <v>46217</v>
      </c>
    </row>
    <row r="17" spans="1:27" ht="328.5" customHeight="1" x14ac:dyDescent="0.2">
      <c r="A17" s="5">
        <v>16</v>
      </c>
      <c r="B17" s="5">
        <v>328649583</v>
      </c>
      <c r="C17" s="5">
        <v>5</v>
      </c>
      <c r="D17" s="5" t="s">
        <v>33</v>
      </c>
      <c r="E17" s="5">
        <v>13</v>
      </c>
      <c r="F17" s="5" t="s">
        <v>34</v>
      </c>
      <c r="G17" s="5">
        <v>332.2</v>
      </c>
      <c r="H17" s="5">
        <f t="shared" si="0"/>
        <v>5.8057371971791945</v>
      </c>
      <c r="I17" s="5"/>
      <c r="J17" s="5">
        <v>1</v>
      </c>
      <c r="K17" s="5">
        <v>9</v>
      </c>
      <c r="L17" s="6">
        <f t="shared" si="1"/>
        <v>0.1111111111111111</v>
      </c>
      <c r="M17" s="5" t="s">
        <v>44</v>
      </c>
      <c r="N17" s="5" t="s">
        <v>35</v>
      </c>
      <c r="O17" s="5">
        <v>2</v>
      </c>
      <c r="P17" s="5">
        <v>1045221250</v>
      </c>
      <c r="Q17" s="7" t="s">
        <v>85</v>
      </c>
      <c r="R17" s="5" t="s">
        <v>37</v>
      </c>
      <c r="S17" s="5">
        <v>3</v>
      </c>
      <c r="T17" s="5">
        <v>4</v>
      </c>
      <c r="U17" s="5">
        <v>3.3</v>
      </c>
      <c r="V17" s="5" t="s">
        <v>38</v>
      </c>
      <c r="W17" s="5">
        <v>1</v>
      </c>
      <c r="X17" s="5">
        <v>1</v>
      </c>
      <c r="Y17" s="5" t="s">
        <v>86</v>
      </c>
      <c r="AA17" s="9">
        <v>46217</v>
      </c>
    </row>
    <row r="18" spans="1:27" ht="300.75" customHeight="1" x14ac:dyDescent="0.2">
      <c r="A18" s="5">
        <v>17</v>
      </c>
      <c r="B18" s="5">
        <v>329369076</v>
      </c>
      <c r="C18" s="5">
        <v>2</v>
      </c>
      <c r="D18" s="5" t="s">
        <v>26</v>
      </c>
      <c r="E18" s="5">
        <v>8</v>
      </c>
      <c r="F18" s="5" t="s">
        <v>87</v>
      </c>
      <c r="G18" s="5">
        <v>65</v>
      </c>
      <c r="H18" s="5">
        <f t="shared" si="0"/>
        <v>4.1743872698956368</v>
      </c>
      <c r="I18" s="5">
        <v>38</v>
      </c>
      <c r="J18" s="5">
        <v>3</v>
      </c>
      <c r="K18" s="5">
        <v>9</v>
      </c>
      <c r="L18" s="6">
        <f t="shared" si="1"/>
        <v>0.33333333333333331</v>
      </c>
      <c r="M18" s="5" t="s">
        <v>28</v>
      </c>
      <c r="N18" s="5" t="s">
        <v>61</v>
      </c>
      <c r="O18" s="5">
        <v>1</v>
      </c>
      <c r="P18" s="5">
        <v>83617700</v>
      </c>
      <c r="Q18" s="7" t="s">
        <v>88</v>
      </c>
      <c r="R18" s="5" t="s">
        <v>30</v>
      </c>
      <c r="S18" s="5">
        <v>2</v>
      </c>
      <c r="T18" s="5">
        <v>1</v>
      </c>
      <c r="U18" s="5">
        <v>2.9</v>
      </c>
      <c r="V18" s="5" t="s">
        <v>52</v>
      </c>
      <c r="W18" s="5">
        <v>0</v>
      </c>
      <c r="X18" s="5">
        <v>1</v>
      </c>
      <c r="Y18" s="5" t="s">
        <v>89</v>
      </c>
      <c r="AA18" s="9">
        <v>46217</v>
      </c>
    </row>
    <row r="19" spans="1:27" ht="300.75" customHeight="1" x14ac:dyDescent="0.2">
      <c r="A19" s="5">
        <v>18</v>
      </c>
      <c r="B19" s="5">
        <v>320084842</v>
      </c>
      <c r="C19" s="5">
        <v>5</v>
      </c>
      <c r="D19" s="5" t="s">
        <v>26</v>
      </c>
      <c r="E19" s="5">
        <v>9</v>
      </c>
      <c r="F19" s="5" t="s">
        <v>90</v>
      </c>
      <c r="G19" s="5">
        <v>307.7</v>
      </c>
      <c r="H19" s="5">
        <f t="shared" si="0"/>
        <v>5.7291252823279963</v>
      </c>
      <c r="I19" s="5"/>
      <c r="J19" s="5">
        <v>7</v>
      </c>
      <c r="K19" s="5">
        <v>8</v>
      </c>
      <c r="L19" s="6">
        <f t="shared" si="1"/>
        <v>0.875</v>
      </c>
      <c r="M19" s="5" t="s">
        <v>44</v>
      </c>
      <c r="N19" s="5" t="s">
        <v>35</v>
      </c>
      <c r="O19" s="5">
        <v>2</v>
      </c>
      <c r="P19" s="5">
        <v>549900000</v>
      </c>
      <c r="Q19" s="7" t="s">
        <v>91</v>
      </c>
      <c r="R19" s="5" t="s">
        <v>37</v>
      </c>
      <c r="S19" s="5">
        <v>3</v>
      </c>
      <c r="T19" s="5">
        <v>3</v>
      </c>
      <c r="U19" s="5"/>
      <c r="V19" s="5"/>
      <c r="W19" s="5"/>
      <c r="X19" s="5">
        <v>1</v>
      </c>
      <c r="Y19" s="5" t="s">
        <v>92</v>
      </c>
      <c r="AA19" s="9">
        <v>46217</v>
      </c>
    </row>
    <row r="20" spans="1:27" ht="409.5" customHeight="1" x14ac:dyDescent="0.2">
      <c r="A20" s="5">
        <v>19</v>
      </c>
      <c r="B20" s="5">
        <v>329168954</v>
      </c>
      <c r="C20" s="5">
        <v>1</v>
      </c>
      <c r="D20" s="5" t="s">
        <v>33</v>
      </c>
      <c r="E20" s="5">
        <v>11</v>
      </c>
      <c r="F20" s="5" t="s">
        <v>93</v>
      </c>
      <c r="G20" s="5">
        <v>48.2</v>
      </c>
      <c r="H20" s="5">
        <f t="shared" si="0"/>
        <v>3.8753590210565547</v>
      </c>
      <c r="I20" s="5"/>
      <c r="J20" s="5">
        <v>7</v>
      </c>
      <c r="K20" s="5">
        <v>7</v>
      </c>
      <c r="L20" s="6">
        <f t="shared" si="1"/>
        <v>1</v>
      </c>
      <c r="M20" s="5" t="s">
        <v>28</v>
      </c>
      <c r="N20" s="5"/>
      <c r="O20" s="5">
        <v>0</v>
      </c>
      <c r="P20" s="5">
        <v>40000000</v>
      </c>
      <c r="Q20" s="7" t="s">
        <v>94</v>
      </c>
      <c r="R20" s="5" t="s">
        <v>37</v>
      </c>
      <c r="S20" s="5">
        <v>3</v>
      </c>
      <c r="T20" s="5">
        <v>1</v>
      </c>
      <c r="U20" s="5">
        <v>3.2</v>
      </c>
      <c r="V20" s="5" t="s">
        <v>38</v>
      </c>
      <c r="W20" s="5">
        <v>1</v>
      </c>
      <c r="X20" s="5">
        <v>1</v>
      </c>
      <c r="Y20" s="5" t="s">
        <v>95</v>
      </c>
      <c r="AA20" s="9">
        <v>46217</v>
      </c>
    </row>
    <row r="21" spans="1:27" ht="370.5" customHeight="1" x14ac:dyDescent="0.2">
      <c r="A21" s="5">
        <v>20</v>
      </c>
      <c r="B21" s="5">
        <v>331686352</v>
      </c>
      <c r="C21" s="5">
        <v>3</v>
      </c>
      <c r="D21" s="5" t="s">
        <v>64</v>
      </c>
      <c r="E21" s="5">
        <v>7</v>
      </c>
      <c r="F21" s="5" t="s">
        <v>96</v>
      </c>
      <c r="G21" s="5">
        <v>112</v>
      </c>
      <c r="H21" s="5">
        <f t="shared" si="0"/>
        <v>4.7184988712950942</v>
      </c>
      <c r="I21" s="5">
        <v>80</v>
      </c>
      <c r="J21" s="5">
        <v>4</v>
      </c>
      <c r="K21" s="5">
        <v>6</v>
      </c>
      <c r="L21" s="6">
        <f t="shared" si="1"/>
        <v>0.66666666666666663</v>
      </c>
      <c r="M21" s="5" t="s">
        <v>28</v>
      </c>
      <c r="N21" s="5"/>
      <c r="O21" s="5">
        <v>0</v>
      </c>
      <c r="P21" s="5">
        <v>175000000</v>
      </c>
      <c r="Q21" s="7" t="s">
        <v>97</v>
      </c>
      <c r="R21" s="5"/>
      <c r="S21" s="5"/>
      <c r="T21" s="5"/>
      <c r="U21" s="5"/>
      <c r="V21" s="5"/>
      <c r="W21" s="5"/>
      <c r="X21" s="5">
        <v>1</v>
      </c>
      <c r="Y21" s="5" t="s">
        <v>98</v>
      </c>
      <c r="AA21" s="9">
        <v>46217</v>
      </c>
    </row>
    <row r="22" spans="1:27" ht="342.75" customHeight="1" x14ac:dyDescent="0.2">
      <c r="A22" s="5">
        <v>21</v>
      </c>
      <c r="B22" s="5">
        <v>330531936</v>
      </c>
      <c r="C22" s="5">
        <v>3</v>
      </c>
      <c r="D22" s="5" t="s">
        <v>26</v>
      </c>
      <c r="E22" s="5">
        <v>10</v>
      </c>
      <c r="F22" s="5" t="s">
        <v>99</v>
      </c>
      <c r="G22" s="5">
        <v>115</v>
      </c>
      <c r="H22" s="5">
        <f t="shared" si="0"/>
        <v>4.7449321283632502</v>
      </c>
      <c r="I22" s="5">
        <v>90</v>
      </c>
      <c r="J22" s="5">
        <v>5</v>
      </c>
      <c r="K22" s="5">
        <v>5</v>
      </c>
      <c r="L22" s="6">
        <f t="shared" si="1"/>
        <v>1</v>
      </c>
      <c r="M22" s="5" t="s">
        <v>44</v>
      </c>
      <c r="N22" s="5" t="s">
        <v>61</v>
      </c>
      <c r="O22" s="5">
        <v>1</v>
      </c>
      <c r="P22" s="5">
        <v>150000000</v>
      </c>
      <c r="Q22" s="5" t="s">
        <v>100</v>
      </c>
      <c r="R22" s="5" t="s">
        <v>37</v>
      </c>
      <c r="S22" s="5">
        <v>3</v>
      </c>
      <c r="T22" s="5">
        <v>2</v>
      </c>
      <c r="U22" s="5"/>
      <c r="V22" s="5"/>
      <c r="W22" s="5"/>
      <c r="X22" s="5">
        <v>1</v>
      </c>
      <c r="Y22" s="5" t="s">
        <v>101</v>
      </c>
      <c r="AA22" s="9">
        <v>46217</v>
      </c>
    </row>
    <row r="23" spans="1:27" ht="342.75" customHeight="1" x14ac:dyDescent="0.2">
      <c r="A23" s="5">
        <v>22</v>
      </c>
      <c r="B23" s="5">
        <v>326014761</v>
      </c>
      <c r="C23" s="5">
        <v>3</v>
      </c>
      <c r="D23" s="5" t="s">
        <v>54</v>
      </c>
      <c r="E23" s="5">
        <v>6</v>
      </c>
      <c r="F23" s="5" t="s">
        <v>82</v>
      </c>
      <c r="G23" s="5">
        <v>120</v>
      </c>
      <c r="H23" s="5">
        <f t="shared" si="0"/>
        <v>4.7874917427820458</v>
      </c>
      <c r="I23" s="5">
        <v>80</v>
      </c>
      <c r="J23" s="5">
        <v>4</v>
      </c>
      <c r="K23" s="5">
        <v>9</v>
      </c>
      <c r="L23" s="6">
        <f t="shared" si="1"/>
        <v>0.44444444444444442</v>
      </c>
      <c r="M23" s="5" t="s">
        <v>57</v>
      </c>
      <c r="N23" s="5" t="s">
        <v>35</v>
      </c>
      <c r="O23" s="5">
        <v>2</v>
      </c>
      <c r="P23" s="5">
        <v>140000000</v>
      </c>
      <c r="Q23" s="7" t="s">
        <v>102</v>
      </c>
      <c r="R23" s="5" t="s">
        <v>37</v>
      </c>
      <c r="S23" s="5">
        <v>3</v>
      </c>
      <c r="T23" s="5">
        <v>2</v>
      </c>
      <c r="U23" s="5">
        <v>3.1</v>
      </c>
      <c r="V23" s="5" t="s">
        <v>38</v>
      </c>
      <c r="W23" s="5">
        <v>1</v>
      </c>
      <c r="X23" s="5">
        <v>1</v>
      </c>
      <c r="Y23" s="5" t="s">
        <v>103</v>
      </c>
      <c r="AA23" s="9">
        <v>46217</v>
      </c>
    </row>
    <row r="24" spans="1:27" ht="285.75" customHeight="1" x14ac:dyDescent="0.2">
      <c r="A24" s="5">
        <v>23</v>
      </c>
      <c r="B24" s="5">
        <v>323910972</v>
      </c>
      <c r="C24" s="5">
        <v>4</v>
      </c>
      <c r="D24" s="5" t="s">
        <v>26</v>
      </c>
      <c r="E24" s="5">
        <v>3</v>
      </c>
      <c r="F24" s="5" t="s">
        <v>73</v>
      </c>
      <c r="G24" s="5">
        <v>259</v>
      </c>
      <c r="H24" s="5">
        <f t="shared" si="0"/>
        <v>5.5568280616995374</v>
      </c>
      <c r="I24" s="5">
        <v>155</v>
      </c>
      <c r="J24" s="5">
        <v>4</v>
      </c>
      <c r="K24" s="5">
        <v>5</v>
      </c>
      <c r="L24" s="6">
        <f t="shared" si="1"/>
        <v>0.8</v>
      </c>
      <c r="M24" s="5" t="s">
        <v>28</v>
      </c>
      <c r="N24" s="5"/>
      <c r="O24" s="5">
        <v>0</v>
      </c>
      <c r="P24" s="5">
        <v>155000000</v>
      </c>
      <c r="Q24" s="7" t="s">
        <v>104</v>
      </c>
      <c r="R24" s="5" t="s">
        <v>37</v>
      </c>
      <c r="S24" s="5">
        <v>3</v>
      </c>
      <c r="T24" s="5">
        <v>1</v>
      </c>
      <c r="U24" s="5">
        <v>4.5</v>
      </c>
      <c r="V24" s="5" t="s">
        <v>31</v>
      </c>
      <c r="W24" s="5">
        <v>2</v>
      </c>
      <c r="X24" s="5">
        <v>1</v>
      </c>
      <c r="Y24" s="5" t="s">
        <v>105</v>
      </c>
      <c r="AA24" s="9">
        <v>46217</v>
      </c>
    </row>
    <row r="25" spans="1:27" ht="357" customHeight="1" x14ac:dyDescent="0.2">
      <c r="A25" s="5">
        <v>24</v>
      </c>
      <c r="B25" s="5">
        <v>320996812</v>
      </c>
      <c r="C25" s="5">
        <v>2</v>
      </c>
      <c r="D25" s="5" t="s">
        <v>54</v>
      </c>
      <c r="E25" s="5">
        <v>8</v>
      </c>
      <c r="F25" s="5" t="s">
        <v>50</v>
      </c>
      <c r="G25" s="5">
        <v>54</v>
      </c>
      <c r="H25" s="5">
        <f t="shared" si="0"/>
        <v>3.9889840465642745</v>
      </c>
      <c r="I25" s="5">
        <v>32</v>
      </c>
      <c r="J25" s="5">
        <v>8</v>
      </c>
      <c r="K25" s="5">
        <v>9</v>
      </c>
      <c r="L25" s="6">
        <f t="shared" si="1"/>
        <v>0.88888888888888884</v>
      </c>
      <c r="M25" s="5" t="s">
        <v>28</v>
      </c>
      <c r="N25" s="5" t="s">
        <v>61</v>
      </c>
      <c r="O25" s="5">
        <v>1</v>
      </c>
      <c r="P25" s="5">
        <v>46000000</v>
      </c>
      <c r="Q25" s="5" t="s">
        <v>106</v>
      </c>
      <c r="R25" s="5" t="s">
        <v>107</v>
      </c>
      <c r="S25" s="5">
        <v>1</v>
      </c>
      <c r="T25" s="5">
        <v>1</v>
      </c>
      <c r="U25" s="5"/>
      <c r="V25" s="5"/>
      <c r="W25" s="5"/>
      <c r="X25" s="5">
        <v>1</v>
      </c>
      <c r="Y25" s="5" t="s">
        <v>108</v>
      </c>
      <c r="AA25" s="9">
        <v>46217</v>
      </c>
    </row>
    <row r="26" spans="1:27" ht="315" customHeight="1" x14ac:dyDescent="0.2">
      <c r="A26" s="5">
        <v>25</v>
      </c>
      <c r="B26" s="5">
        <v>331777571</v>
      </c>
      <c r="C26" s="5">
        <v>4</v>
      </c>
      <c r="D26" s="5" t="s">
        <v>26</v>
      </c>
      <c r="E26" s="5">
        <v>1</v>
      </c>
      <c r="F26" s="5" t="s">
        <v>109</v>
      </c>
      <c r="G26" s="5">
        <v>120</v>
      </c>
      <c r="H26" s="5">
        <f t="shared" si="0"/>
        <v>4.7874917427820458</v>
      </c>
      <c r="I26" s="5">
        <v>85</v>
      </c>
      <c r="J26" s="5">
        <v>8</v>
      </c>
      <c r="K26" s="5">
        <v>9</v>
      </c>
      <c r="L26" s="6">
        <f t="shared" si="1"/>
        <v>0.88888888888888884</v>
      </c>
      <c r="M26" s="5" t="s">
        <v>28</v>
      </c>
      <c r="N26" s="5" t="s">
        <v>61</v>
      </c>
      <c r="O26" s="5">
        <v>1</v>
      </c>
      <c r="P26" s="5">
        <v>96000000</v>
      </c>
      <c r="Q26" s="5" t="s">
        <v>110</v>
      </c>
      <c r="R26" s="5" t="s">
        <v>37</v>
      </c>
      <c r="S26" s="5">
        <v>3</v>
      </c>
      <c r="T26" s="5">
        <v>2</v>
      </c>
      <c r="U26" s="5"/>
      <c r="V26" s="5"/>
      <c r="W26" s="5"/>
      <c r="X26" s="5">
        <v>1</v>
      </c>
      <c r="Y26" s="5" t="s">
        <v>111</v>
      </c>
      <c r="AA26" s="9">
        <v>46217</v>
      </c>
    </row>
    <row r="27" spans="1:27" ht="315" customHeight="1" x14ac:dyDescent="0.2">
      <c r="A27" s="5">
        <v>26</v>
      </c>
      <c r="B27" s="5">
        <v>331604618</v>
      </c>
      <c r="C27" s="5">
        <v>4</v>
      </c>
      <c r="D27" s="5" t="s">
        <v>26</v>
      </c>
      <c r="E27" s="5">
        <v>3</v>
      </c>
      <c r="F27" s="5" t="s">
        <v>73</v>
      </c>
      <c r="G27" s="5">
        <v>255</v>
      </c>
      <c r="H27" s="5">
        <f t="shared" si="0"/>
        <v>5.5412635451584258</v>
      </c>
      <c r="I27" s="5">
        <v>166</v>
      </c>
      <c r="J27" s="5">
        <v>4</v>
      </c>
      <c r="K27" s="5">
        <v>4</v>
      </c>
      <c r="L27" s="6">
        <f t="shared" si="1"/>
        <v>1</v>
      </c>
      <c r="M27" s="5" t="s">
        <v>28</v>
      </c>
      <c r="N27" s="5" t="s">
        <v>61</v>
      </c>
      <c r="O27" s="5">
        <v>1</v>
      </c>
      <c r="P27" s="5">
        <v>155000000</v>
      </c>
      <c r="Q27" s="7" t="s">
        <v>112</v>
      </c>
      <c r="R27" s="5" t="s">
        <v>30</v>
      </c>
      <c r="S27" s="5">
        <v>2</v>
      </c>
      <c r="T27" s="5">
        <v>4</v>
      </c>
      <c r="U27" s="5">
        <v>4.5</v>
      </c>
      <c r="V27" s="5" t="s">
        <v>31</v>
      </c>
      <c r="W27" s="5">
        <v>2</v>
      </c>
      <c r="X27" s="5">
        <v>1</v>
      </c>
      <c r="Y27" s="5" t="s">
        <v>113</v>
      </c>
      <c r="AA27" s="9">
        <v>46217</v>
      </c>
    </row>
    <row r="28" spans="1:27" ht="409.5" customHeight="1" x14ac:dyDescent="0.2">
      <c r="A28" s="5">
        <v>27</v>
      </c>
      <c r="B28" s="5">
        <v>329746270</v>
      </c>
      <c r="C28" s="5">
        <v>4</v>
      </c>
      <c r="D28" s="5" t="s">
        <v>26</v>
      </c>
      <c r="E28" s="5">
        <v>9</v>
      </c>
      <c r="F28" s="5" t="s">
        <v>90</v>
      </c>
      <c r="G28" s="5">
        <v>163.30000000000001</v>
      </c>
      <c r="H28" s="5">
        <f t="shared" si="0"/>
        <v>5.0955889999764192</v>
      </c>
      <c r="I28" s="5"/>
      <c r="J28" s="5">
        <v>2</v>
      </c>
      <c r="K28" s="5">
        <v>8</v>
      </c>
      <c r="L28" s="6">
        <f t="shared" si="1"/>
        <v>0.25</v>
      </c>
      <c r="M28" s="5" t="s">
        <v>57</v>
      </c>
      <c r="N28" s="5" t="s">
        <v>35</v>
      </c>
      <c r="O28" s="5">
        <v>2</v>
      </c>
      <c r="P28" s="5">
        <v>220000000</v>
      </c>
      <c r="Q28" s="7" t="s">
        <v>114</v>
      </c>
      <c r="R28" s="5" t="s">
        <v>30</v>
      </c>
      <c r="S28" s="5">
        <v>2</v>
      </c>
      <c r="T28" s="5">
        <v>3</v>
      </c>
      <c r="U28" s="5">
        <v>3.3</v>
      </c>
      <c r="V28" s="5" t="s">
        <v>38</v>
      </c>
      <c r="W28" s="5">
        <v>1</v>
      </c>
      <c r="X28" s="5">
        <v>1</v>
      </c>
      <c r="Y28" s="5" t="s">
        <v>115</v>
      </c>
      <c r="AA28" s="9">
        <v>46217</v>
      </c>
    </row>
    <row r="29" spans="1:27" ht="315" customHeight="1" x14ac:dyDescent="0.2">
      <c r="A29" s="5">
        <v>28</v>
      </c>
      <c r="B29" s="5">
        <v>324985994</v>
      </c>
      <c r="C29" s="5">
        <v>5</v>
      </c>
      <c r="D29" s="5" t="s">
        <v>64</v>
      </c>
      <c r="E29" s="5">
        <v>8</v>
      </c>
      <c r="F29" s="5" t="s">
        <v>116</v>
      </c>
      <c r="G29" s="5">
        <v>209</v>
      </c>
      <c r="H29" s="5">
        <f t="shared" si="0"/>
        <v>5.3423342519648109</v>
      </c>
      <c r="I29" s="5"/>
      <c r="J29" s="5">
        <v>3</v>
      </c>
      <c r="K29" s="5">
        <v>6</v>
      </c>
      <c r="L29" s="6">
        <f t="shared" si="1"/>
        <v>0.5</v>
      </c>
      <c r="M29" s="5"/>
      <c r="N29" s="5" t="s">
        <v>61</v>
      </c>
      <c r="O29" s="5">
        <v>1</v>
      </c>
      <c r="P29" s="5">
        <v>340000000</v>
      </c>
      <c r="Q29" s="7" t="s">
        <v>117</v>
      </c>
      <c r="R29" s="5" t="s">
        <v>37</v>
      </c>
      <c r="S29" s="5">
        <v>3</v>
      </c>
      <c r="T29" s="5"/>
      <c r="U29" s="5">
        <v>3.2</v>
      </c>
      <c r="V29" s="5" t="s">
        <v>38</v>
      </c>
      <c r="W29" s="5">
        <v>1</v>
      </c>
      <c r="X29" s="5">
        <v>1</v>
      </c>
      <c r="Y29" s="5" t="s">
        <v>118</v>
      </c>
      <c r="AA29" s="9">
        <v>46217</v>
      </c>
    </row>
    <row r="30" spans="1:27" ht="342.75" customHeight="1" x14ac:dyDescent="0.2">
      <c r="A30" s="5">
        <v>29</v>
      </c>
      <c r="B30" s="5">
        <v>328159372</v>
      </c>
      <c r="C30" s="5">
        <v>4</v>
      </c>
      <c r="D30" s="5" t="s">
        <v>26</v>
      </c>
      <c r="E30" s="5">
        <v>10</v>
      </c>
      <c r="F30" s="5" t="s">
        <v>119</v>
      </c>
      <c r="G30" s="5">
        <v>120</v>
      </c>
      <c r="H30" s="5">
        <f t="shared" si="0"/>
        <v>4.7874917427820458</v>
      </c>
      <c r="I30" s="5">
        <v>90</v>
      </c>
      <c r="J30" s="5">
        <v>4</v>
      </c>
      <c r="K30" s="5">
        <v>7</v>
      </c>
      <c r="L30" s="6">
        <f t="shared" si="1"/>
        <v>0.5714285714285714</v>
      </c>
      <c r="M30" s="5" t="s">
        <v>28</v>
      </c>
      <c r="N30" s="5"/>
      <c r="O30" s="5">
        <v>0</v>
      </c>
      <c r="P30" s="5">
        <v>120000000</v>
      </c>
      <c r="Q30" s="7" t="s">
        <v>120</v>
      </c>
      <c r="R30" s="5" t="s">
        <v>37</v>
      </c>
      <c r="S30" s="5">
        <v>3</v>
      </c>
      <c r="T30" s="5">
        <v>2</v>
      </c>
      <c r="U30" s="5">
        <v>3.4</v>
      </c>
      <c r="V30" s="5" t="s">
        <v>38</v>
      </c>
      <c r="W30" s="5">
        <v>1</v>
      </c>
      <c r="X30" s="5">
        <v>1</v>
      </c>
      <c r="Y30" s="5" t="s">
        <v>121</v>
      </c>
      <c r="AA30" s="9">
        <v>46217</v>
      </c>
    </row>
    <row r="31" spans="1:27" ht="270.75" customHeight="1" x14ac:dyDescent="0.2">
      <c r="A31" s="5">
        <v>30</v>
      </c>
      <c r="B31" s="5">
        <v>331768136</v>
      </c>
      <c r="C31" s="5">
        <v>4</v>
      </c>
      <c r="D31" s="5" t="s">
        <v>26</v>
      </c>
      <c r="E31" s="5">
        <v>10</v>
      </c>
      <c r="F31" s="5" t="s">
        <v>119</v>
      </c>
      <c r="G31" s="5">
        <v>120</v>
      </c>
      <c r="H31" s="5">
        <f t="shared" si="0"/>
        <v>4.7874917427820458</v>
      </c>
      <c r="I31" s="5"/>
      <c r="J31" s="5">
        <v>4</v>
      </c>
      <c r="K31" s="5">
        <v>7</v>
      </c>
      <c r="L31" s="6">
        <f t="shared" si="1"/>
        <v>0.5714285714285714</v>
      </c>
      <c r="M31" s="5" t="s">
        <v>28</v>
      </c>
      <c r="N31" s="5"/>
      <c r="O31" s="5">
        <v>0</v>
      </c>
      <c r="P31" s="5">
        <v>120000000</v>
      </c>
      <c r="Q31" s="7" t="s">
        <v>122</v>
      </c>
      <c r="R31" s="5" t="s">
        <v>37</v>
      </c>
      <c r="S31" s="5">
        <v>3</v>
      </c>
      <c r="T31" s="5">
        <v>2</v>
      </c>
      <c r="U31" s="5">
        <v>3.2</v>
      </c>
      <c r="V31" s="5" t="s">
        <v>38</v>
      </c>
      <c r="W31" s="5">
        <v>1</v>
      </c>
      <c r="X31" s="5">
        <v>1</v>
      </c>
      <c r="Y31" s="5" t="s">
        <v>123</v>
      </c>
      <c r="AA31" s="9">
        <v>46217</v>
      </c>
    </row>
    <row r="32" spans="1:27" ht="210.75" customHeight="1" x14ac:dyDescent="0.2">
      <c r="A32" s="5">
        <v>31</v>
      </c>
      <c r="B32" s="5">
        <v>313384249</v>
      </c>
      <c r="C32" s="5">
        <v>3</v>
      </c>
      <c r="D32" s="5" t="s">
        <v>54</v>
      </c>
      <c r="E32" s="5">
        <v>10</v>
      </c>
      <c r="F32" s="5" t="s">
        <v>43</v>
      </c>
      <c r="G32" s="5">
        <v>137.1</v>
      </c>
      <c r="H32" s="5">
        <f t="shared" si="0"/>
        <v>4.9207105865682683</v>
      </c>
      <c r="I32" s="5"/>
      <c r="J32" s="5">
        <v>2</v>
      </c>
      <c r="K32" s="5">
        <v>7</v>
      </c>
      <c r="L32" s="6">
        <f t="shared" si="1"/>
        <v>0.2857142857142857</v>
      </c>
      <c r="M32" s="5" t="s">
        <v>44</v>
      </c>
      <c r="N32" s="5" t="s">
        <v>35</v>
      </c>
      <c r="O32" s="5">
        <v>2</v>
      </c>
      <c r="P32" s="5">
        <v>520000000</v>
      </c>
      <c r="Q32" s="7" t="s">
        <v>124</v>
      </c>
      <c r="R32" s="5" t="s">
        <v>37</v>
      </c>
      <c r="S32" s="5">
        <v>3</v>
      </c>
      <c r="T32" s="5">
        <v>3</v>
      </c>
      <c r="U32" s="5">
        <v>3.45</v>
      </c>
      <c r="V32" s="5" t="s">
        <v>38</v>
      </c>
      <c r="W32" s="5">
        <v>1</v>
      </c>
      <c r="X32" s="5">
        <v>1</v>
      </c>
      <c r="Y32" s="5" t="s">
        <v>125</v>
      </c>
      <c r="AA32" s="9">
        <v>46217</v>
      </c>
    </row>
    <row r="33" spans="1:27" ht="409.5" customHeight="1" x14ac:dyDescent="0.2">
      <c r="A33" s="5">
        <v>32</v>
      </c>
      <c r="B33" s="5">
        <v>331366248</v>
      </c>
      <c r="C33" s="5">
        <v>3</v>
      </c>
      <c r="D33" s="5" t="s">
        <v>26</v>
      </c>
      <c r="E33" s="5">
        <v>10</v>
      </c>
      <c r="F33" s="5" t="s">
        <v>43</v>
      </c>
      <c r="G33" s="5">
        <v>137.1</v>
      </c>
      <c r="H33" s="5">
        <f t="shared" si="0"/>
        <v>4.9207105865682683</v>
      </c>
      <c r="I33" s="5"/>
      <c r="J33" s="5">
        <v>2</v>
      </c>
      <c r="K33" s="5">
        <v>7</v>
      </c>
      <c r="L33" s="6">
        <f t="shared" si="1"/>
        <v>0.2857142857142857</v>
      </c>
      <c r="M33" s="5" t="s">
        <v>57</v>
      </c>
      <c r="N33" s="5" t="s">
        <v>35</v>
      </c>
      <c r="O33" s="5">
        <v>2</v>
      </c>
      <c r="P33" s="5">
        <v>520000000</v>
      </c>
      <c r="Q33" s="7" t="s">
        <v>126</v>
      </c>
      <c r="R33" s="5" t="s">
        <v>37</v>
      </c>
      <c r="S33" s="5">
        <v>3</v>
      </c>
      <c r="T33" s="5">
        <v>2</v>
      </c>
      <c r="U33" s="5">
        <v>3.45</v>
      </c>
      <c r="V33" s="5" t="s">
        <v>38</v>
      </c>
      <c r="W33" s="5">
        <v>1</v>
      </c>
      <c r="X33" s="5">
        <v>1</v>
      </c>
      <c r="Y33" s="5" t="s">
        <v>127</v>
      </c>
      <c r="AA33" s="9">
        <v>46217</v>
      </c>
    </row>
    <row r="34" spans="1:27" ht="165.75" customHeight="1" x14ac:dyDescent="0.2">
      <c r="A34" s="5">
        <v>33</v>
      </c>
      <c r="B34" s="5">
        <v>322164956</v>
      </c>
      <c r="C34" s="5">
        <v>6</v>
      </c>
      <c r="D34" s="5" t="s">
        <v>54</v>
      </c>
      <c r="E34" s="5">
        <v>9</v>
      </c>
      <c r="F34" s="5" t="s">
        <v>128</v>
      </c>
      <c r="G34" s="5">
        <v>250</v>
      </c>
      <c r="H34" s="5">
        <f t="shared" si="0"/>
        <v>5.521460917862246</v>
      </c>
      <c r="I34" s="5">
        <v>160</v>
      </c>
      <c r="J34" s="5">
        <v>6</v>
      </c>
      <c r="K34" s="5">
        <v>7</v>
      </c>
      <c r="L34" s="6">
        <f t="shared" si="1"/>
        <v>0.8571428571428571</v>
      </c>
      <c r="M34" s="5" t="s">
        <v>28</v>
      </c>
      <c r="N34" s="5" t="s">
        <v>67</v>
      </c>
      <c r="O34" s="5">
        <v>1</v>
      </c>
      <c r="P34" s="5">
        <v>179000000</v>
      </c>
      <c r="Q34" s="7" t="s">
        <v>129</v>
      </c>
      <c r="R34" s="5" t="s">
        <v>30</v>
      </c>
      <c r="S34" s="5">
        <v>2</v>
      </c>
      <c r="T34" s="5">
        <v>3</v>
      </c>
      <c r="U34" s="5"/>
      <c r="V34" s="5"/>
      <c r="W34" s="5"/>
      <c r="X34" s="5">
        <v>1</v>
      </c>
      <c r="Y34" s="5" t="s">
        <v>130</v>
      </c>
      <c r="AA34" s="9">
        <v>46217</v>
      </c>
    </row>
    <row r="35" spans="1:27" ht="15" customHeight="1" x14ac:dyDescent="0.2">
      <c r="A35" s="5">
        <v>34</v>
      </c>
      <c r="B35" s="5">
        <v>331537691</v>
      </c>
      <c r="C35" s="5">
        <v>4</v>
      </c>
      <c r="D35" s="5" t="s">
        <v>33</v>
      </c>
      <c r="E35" s="5">
        <v>11</v>
      </c>
      <c r="F35" s="5" t="s">
        <v>131</v>
      </c>
      <c r="G35" s="5">
        <v>193</v>
      </c>
      <c r="H35" s="5">
        <f t="shared" si="0"/>
        <v>5.2626901889048856</v>
      </c>
      <c r="I35" s="5"/>
      <c r="J35" s="5">
        <v>5</v>
      </c>
      <c r="K35" s="5">
        <v>9</v>
      </c>
      <c r="L35" s="6">
        <f t="shared" si="1"/>
        <v>0.55555555555555558</v>
      </c>
      <c r="M35" s="5"/>
      <c r="N35" s="5" t="s">
        <v>61</v>
      </c>
      <c r="O35" s="5">
        <v>1</v>
      </c>
      <c r="P35" s="5">
        <v>570000000</v>
      </c>
      <c r="Q35" s="7" t="s">
        <v>132</v>
      </c>
      <c r="R35" s="5" t="s">
        <v>37</v>
      </c>
      <c r="S35" s="5">
        <v>3</v>
      </c>
      <c r="T35" s="5">
        <v>2</v>
      </c>
      <c r="U35" s="5">
        <v>3.5</v>
      </c>
      <c r="V35" s="5" t="s">
        <v>38</v>
      </c>
      <c r="W35" s="5">
        <v>1</v>
      </c>
      <c r="X35" s="5">
        <v>1</v>
      </c>
      <c r="Y35" s="5" t="s">
        <v>133</v>
      </c>
      <c r="AA35" s="9">
        <v>46217</v>
      </c>
    </row>
    <row r="36" spans="1:27" ht="255.75" customHeight="1" x14ac:dyDescent="0.2">
      <c r="A36" s="5">
        <v>35</v>
      </c>
      <c r="B36" s="5">
        <v>328653620</v>
      </c>
      <c r="C36" s="5">
        <v>5</v>
      </c>
      <c r="D36" s="5" t="s">
        <v>54</v>
      </c>
      <c r="E36" s="5">
        <v>7</v>
      </c>
      <c r="F36" s="5" t="s">
        <v>134</v>
      </c>
      <c r="G36" s="5">
        <v>350</v>
      </c>
      <c r="H36" s="5">
        <f t="shared" si="0"/>
        <v>5.857933154483459</v>
      </c>
      <c r="I36" s="5">
        <v>315</v>
      </c>
      <c r="J36" s="5">
        <v>5</v>
      </c>
      <c r="K36" s="5">
        <v>7</v>
      </c>
      <c r="L36" s="6">
        <f t="shared" si="1"/>
        <v>0.7142857142857143</v>
      </c>
      <c r="M36" s="5" t="s">
        <v>57</v>
      </c>
      <c r="N36" s="5" t="s">
        <v>35</v>
      </c>
      <c r="O36" s="5">
        <v>2</v>
      </c>
      <c r="P36" s="5">
        <v>999000000</v>
      </c>
      <c r="Q36" s="7" t="s">
        <v>135</v>
      </c>
      <c r="R36" s="5" t="s">
        <v>37</v>
      </c>
      <c r="S36" s="5">
        <v>3</v>
      </c>
      <c r="T36" s="5">
        <v>7</v>
      </c>
      <c r="U36" s="5">
        <v>3.2</v>
      </c>
      <c r="V36" s="5" t="s">
        <v>38</v>
      </c>
      <c r="W36" s="5">
        <v>1</v>
      </c>
      <c r="X36" s="5">
        <v>1</v>
      </c>
      <c r="Y36" s="5" t="s">
        <v>136</v>
      </c>
      <c r="AA36" s="9">
        <v>46217</v>
      </c>
    </row>
    <row r="37" spans="1:27" ht="15" customHeight="1" x14ac:dyDescent="0.2">
      <c r="A37" s="5">
        <v>36</v>
      </c>
      <c r="B37" s="5">
        <v>330052330</v>
      </c>
      <c r="C37" s="5">
        <v>5</v>
      </c>
      <c r="D37" s="5" t="s">
        <v>54</v>
      </c>
      <c r="E37" s="5">
        <v>9</v>
      </c>
      <c r="F37" s="5" t="s">
        <v>128</v>
      </c>
      <c r="G37" s="5">
        <v>250</v>
      </c>
      <c r="H37" s="5">
        <f t="shared" si="0"/>
        <v>5.521460917862246</v>
      </c>
      <c r="I37" s="5"/>
      <c r="J37" s="5">
        <v>6</v>
      </c>
      <c r="K37" s="5">
        <v>6</v>
      </c>
      <c r="L37" s="6">
        <f t="shared" si="1"/>
        <v>1</v>
      </c>
      <c r="M37" s="5" t="s">
        <v>28</v>
      </c>
      <c r="N37" s="5" t="s">
        <v>61</v>
      </c>
      <c r="O37" s="5">
        <v>1</v>
      </c>
      <c r="P37" s="5">
        <v>179000000</v>
      </c>
      <c r="Q37" s="7" t="s">
        <v>137</v>
      </c>
      <c r="R37" s="5" t="s">
        <v>37</v>
      </c>
      <c r="S37" s="5">
        <v>3</v>
      </c>
      <c r="T37" s="5">
        <v>3</v>
      </c>
      <c r="U37" s="5">
        <v>3</v>
      </c>
      <c r="V37" s="5" t="s">
        <v>38</v>
      </c>
      <c r="W37" s="5">
        <v>1</v>
      </c>
      <c r="X37" s="5">
        <v>1</v>
      </c>
      <c r="Y37" s="5" t="s">
        <v>138</v>
      </c>
      <c r="AA37" s="9">
        <v>46217</v>
      </c>
    </row>
    <row r="38" spans="1:27" ht="270.75" customHeight="1" x14ac:dyDescent="0.2">
      <c r="A38" s="5">
        <v>37</v>
      </c>
      <c r="B38" s="5">
        <v>314167272</v>
      </c>
      <c r="C38" s="5">
        <v>2</v>
      </c>
      <c r="D38" s="5" t="s">
        <v>54</v>
      </c>
      <c r="E38" s="5">
        <v>10</v>
      </c>
      <c r="F38" s="5" t="s">
        <v>139</v>
      </c>
      <c r="G38" s="5">
        <v>88.4</v>
      </c>
      <c r="H38" s="5">
        <f t="shared" si="0"/>
        <v>4.4818719696435982</v>
      </c>
      <c r="I38" s="5">
        <v>72.400000000000006</v>
      </c>
      <c r="J38" s="5">
        <v>9</v>
      </c>
      <c r="K38" s="5">
        <v>9</v>
      </c>
      <c r="L38" s="6">
        <f t="shared" si="1"/>
        <v>1</v>
      </c>
      <c r="M38" s="5"/>
      <c r="N38" s="5"/>
      <c r="O38" s="5">
        <v>0</v>
      </c>
      <c r="P38" s="5">
        <v>190000000</v>
      </c>
      <c r="Q38" s="7" t="s">
        <v>140</v>
      </c>
      <c r="R38" s="5" t="s">
        <v>37</v>
      </c>
      <c r="S38" s="5">
        <v>3</v>
      </c>
      <c r="T38" s="5">
        <v>1</v>
      </c>
      <c r="U38" s="5">
        <v>3.5</v>
      </c>
      <c r="V38" s="5" t="s">
        <v>38</v>
      </c>
      <c r="W38" s="5">
        <v>1</v>
      </c>
      <c r="X38" s="5">
        <v>1</v>
      </c>
      <c r="Y38" s="5" t="s">
        <v>141</v>
      </c>
      <c r="AA38" s="9">
        <v>46217</v>
      </c>
    </row>
    <row r="39" spans="1:27" ht="409.5" customHeight="1" x14ac:dyDescent="0.2">
      <c r="A39" s="5">
        <v>38</v>
      </c>
      <c r="B39" s="5">
        <v>309244270</v>
      </c>
      <c r="C39" s="5">
        <v>2</v>
      </c>
      <c r="D39" s="5" t="s">
        <v>54</v>
      </c>
      <c r="E39" s="5">
        <v>10</v>
      </c>
      <c r="F39" s="5" t="s">
        <v>142</v>
      </c>
      <c r="G39" s="5">
        <v>137</v>
      </c>
      <c r="H39" s="5">
        <f t="shared" si="0"/>
        <v>4.9199809258281251</v>
      </c>
      <c r="I39" s="5"/>
      <c r="J39" s="5">
        <v>4</v>
      </c>
      <c r="K39" s="5">
        <v>4</v>
      </c>
      <c r="L39" s="6">
        <f t="shared" si="1"/>
        <v>1</v>
      </c>
      <c r="M39" s="5" t="s">
        <v>57</v>
      </c>
      <c r="N39" s="5" t="s">
        <v>61</v>
      </c>
      <c r="O39" s="5">
        <v>1</v>
      </c>
      <c r="P39" s="5">
        <v>209044250</v>
      </c>
      <c r="Q39" s="7" t="s">
        <v>143</v>
      </c>
      <c r="R39" s="5" t="s">
        <v>37</v>
      </c>
      <c r="S39" s="5">
        <v>3</v>
      </c>
      <c r="T39" s="5">
        <v>2</v>
      </c>
      <c r="U39" s="5">
        <v>4</v>
      </c>
      <c r="V39" s="5" t="s">
        <v>31</v>
      </c>
      <c r="W39" s="5">
        <v>2</v>
      </c>
      <c r="X39" s="5">
        <v>1</v>
      </c>
      <c r="Y39" s="5" t="s">
        <v>144</v>
      </c>
      <c r="AA39" s="9">
        <v>46217</v>
      </c>
    </row>
    <row r="40" spans="1:27" ht="315" customHeight="1" x14ac:dyDescent="0.2">
      <c r="A40" s="5">
        <v>39</v>
      </c>
      <c r="B40" s="5">
        <v>331800560</v>
      </c>
      <c r="C40" s="5">
        <v>3</v>
      </c>
      <c r="D40" s="5" t="s">
        <v>64</v>
      </c>
      <c r="E40" s="5">
        <v>8</v>
      </c>
      <c r="F40" s="5" t="s">
        <v>145</v>
      </c>
      <c r="G40" s="5">
        <v>193.4</v>
      </c>
      <c r="H40" s="5">
        <f t="shared" si="0"/>
        <v>5.2647605830191937</v>
      </c>
      <c r="I40" s="5"/>
      <c r="J40" s="5">
        <v>5</v>
      </c>
      <c r="K40" s="5">
        <v>8</v>
      </c>
      <c r="L40" s="6">
        <f t="shared" si="1"/>
        <v>0.625</v>
      </c>
      <c r="M40" s="5"/>
      <c r="N40" s="5" t="s">
        <v>35</v>
      </c>
      <c r="O40" s="5">
        <v>2</v>
      </c>
      <c r="P40" s="5">
        <v>437890500</v>
      </c>
      <c r="Q40" s="7" t="s">
        <v>146</v>
      </c>
      <c r="R40" s="5" t="s">
        <v>37</v>
      </c>
      <c r="S40" s="5">
        <v>3</v>
      </c>
      <c r="T40" s="5">
        <v>3</v>
      </c>
      <c r="U40" s="5">
        <v>3.4</v>
      </c>
      <c r="V40" s="5" t="s">
        <v>38</v>
      </c>
      <c r="W40" s="5">
        <v>1</v>
      </c>
      <c r="X40" s="5">
        <v>1</v>
      </c>
      <c r="Y40" s="5" t="s">
        <v>147</v>
      </c>
      <c r="AA40" s="9">
        <v>46217</v>
      </c>
    </row>
    <row r="41" spans="1:27" ht="384.75" customHeight="1" x14ac:dyDescent="0.2">
      <c r="A41" s="5">
        <v>40</v>
      </c>
      <c r="B41" s="5">
        <v>304866267</v>
      </c>
      <c r="C41" s="5">
        <v>4</v>
      </c>
      <c r="D41" s="5" t="s">
        <v>54</v>
      </c>
      <c r="E41" s="5">
        <v>6</v>
      </c>
      <c r="F41" s="5" t="s">
        <v>148</v>
      </c>
      <c r="G41" s="5">
        <v>121</v>
      </c>
      <c r="H41" s="5">
        <f t="shared" si="0"/>
        <v>4.7957905455967413</v>
      </c>
      <c r="I41" s="5"/>
      <c r="J41" s="5">
        <v>4</v>
      </c>
      <c r="K41" s="5">
        <v>7</v>
      </c>
      <c r="L41" s="6">
        <f t="shared" si="1"/>
        <v>0.5714285714285714</v>
      </c>
      <c r="M41" s="5"/>
      <c r="N41" s="5" t="s">
        <v>61</v>
      </c>
      <c r="O41" s="5">
        <v>1</v>
      </c>
      <c r="P41" s="5">
        <v>127000000</v>
      </c>
      <c r="Q41" s="7" t="s">
        <v>149</v>
      </c>
      <c r="R41" s="5" t="s">
        <v>37</v>
      </c>
      <c r="S41" s="5">
        <v>3</v>
      </c>
      <c r="T41" s="5">
        <v>2</v>
      </c>
      <c r="U41" s="5">
        <v>3</v>
      </c>
      <c r="V41" s="5" t="s">
        <v>38</v>
      </c>
      <c r="W41" s="5">
        <v>1</v>
      </c>
      <c r="X41" s="5">
        <v>1</v>
      </c>
      <c r="Y41" s="5" t="s">
        <v>150</v>
      </c>
      <c r="AA41" s="9">
        <v>46217</v>
      </c>
    </row>
    <row r="42" spans="1:27" ht="409.5" customHeight="1" x14ac:dyDescent="0.2">
      <c r="A42" s="5">
        <v>41</v>
      </c>
      <c r="B42" s="5">
        <v>320499470</v>
      </c>
      <c r="C42" s="5">
        <v>5</v>
      </c>
      <c r="D42" s="5" t="s">
        <v>64</v>
      </c>
      <c r="E42" s="5">
        <v>7</v>
      </c>
      <c r="F42" s="5" t="s">
        <v>151</v>
      </c>
      <c r="G42" s="5">
        <v>413</v>
      </c>
      <c r="H42" s="5">
        <f t="shared" si="0"/>
        <v>6.0234475929610332</v>
      </c>
      <c r="I42" s="5"/>
      <c r="J42" s="5">
        <v>5</v>
      </c>
      <c r="K42" s="5">
        <v>12</v>
      </c>
      <c r="L42" s="6">
        <f t="shared" si="1"/>
        <v>0.41666666666666669</v>
      </c>
      <c r="M42" s="5"/>
      <c r="N42" s="5" t="s">
        <v>35</v>
      </c>
      <c r="O42" s="5">
        <v>2</v>
      </c>
      <c r="P42" s="5">
        <v>790000000</v>
      </c>
      <c r="Q42" s="7" t="s">
        <v>152</v>
      </c>
      <c r="R42" s="5" t="s">
        <v>37</v>
      </c>
      <c r="S42" s="5">
        <v>3</v>
      </c>
      <c r="T42" s="5">
        <v>4</v>
      </c>
      <c r="U42" s="5">
        <v>3.2</v>
      </c>
      <c r="V42" s="5" t="s">
        <v>38</v>
      </c>
      <c r="W42" s="5">
        <v>1</v>
      </c>
      <c r="X42" s="5">
        <v>1</v>
      </c>
      <c r="Y42" s="5" t="s">
        <v>153</v>
      </c>
      <c r="AA42" s="9">
        <v>46217</v>
      </c>
    </row>
    <row r="43" spans="1:27" ht="15" customHeight="1" x14ac:dyDescent="0.2">
      <c r="A43" s="5">
        <v>42</v>
      </c>
      <c r="B43" s="5">
        <v>327031387</v>
      </c>
      <c r="C43" s="5">
        <v>4</v>
      </c>
      <c r="D43" s="5" t="s">
        <v>54</v>
      </c>
      <c r="E43" s="5">
        <v>11</v>
      </c>
      <c r="F43" s="5" t="s">
        <v>154</v>
      </c>
      <c r="G43" s="5">
        <v>109.2</v>
      </c>
      <c r="H43" s="5">
        <f t="shared" si="0"/>
        <v>4.6931810633108046</v>
      </c>
      <c r="I43" s="5">
        <v>95.2</v>
      </c>
      <c r="J43" s="5">
        <v>2</v>
      </c>
      <c r="K43" s="5">
        <v>5</v>
      </c>
      <c r="L43" s="6">
        <f t="shared" si="1"/>
        <v>0.4</v>
      </c>
      <c r="M43" s="5" t="s">
        <v>28</v>
      </c>
      <c r="N43" s="5" t="s">
        <v>61</v>
      </c>
      <c r="O43" s="5">
        <v>1</v>
      </c>
      <c r="P43" s="5">
        <v>75000000</v>
      </c>
      <c r="Q43" s="7" t="s">
        <v>155</v>
      </c>
      <c r="R43" s="5" t="s">
        <v>37</v>
      </c>
      <c r="S43" s="5">
        <v>3</v>
      </c>
      <c r="T43" s="5">
        <v>1</v>
      </c>
      <c r="U43" s="5">
        <v>3.4</v>
      </c>
      <c r="V43" s="5" t="s">
        <v>38</v>
      </c>
      <c r="W43" s="5">
        <v>1</v>
      </c>
      <c r="X43" s="5">
        <v>1</v>
      </c>
      <c r="Y43" s="5" t="s">
        <v>156</v>
      </c>
      <c r="AA43" s="9">
        <v>46217</v>
      </c>
    </row>
    <row r="44" spans="1:27" ht="270.75" customHeight="1" x14ac:dyDescent="0.2">
      <c r="A44" s="5">
        <v>43</v>
      </c>
      <c r="B44" s="5">
        <v>326356439</v>
      </c>
      <c r="C44" s="5">
        <v>3</v>
      </c>
      <c r="D44" s="5" t="s">
        <v>54</v>
      </c>
      <c r="E44" s="5">
        <v>10</v>
      </c>
      <c r="F44" s="5" t="s">
        <v>43</v>
      </c>
      <c r="G44" s="5">
        <v>137.1</v>
      </c>
      <c r="H44" s="5">
        <f t="shared" si="0"/>
        <v>4.9207105865682683</v>
      </c>
      <c r="I44" s="5"/>
      <c r="J44" s="5">
        <v>2</v>
      </c>
      <c r="K44" s="5">
        <v>7</v>
      </c>
      <c r="L44" s="6">
        <f t="shared" si="1"/>
        <v>0.2857142857142857</v>
      </c>
      <c r="M44" s="5"/>
      <c r="N44" s="5" t="s">
        <v>35</v>
      </c>
      <c r="O44" s="5">
        <v>2</v>
      </c>
      <c r="P44" s="5">
        <v>550000000</v>
      </c>
      <c r="Q44" s="7" t="s">
        <v>157</v>
      </c>
      <c r="R44" s="5" t="s">
        <v>37</v>
      </c>
      <c r="S44" s="5">
        <v>3</v>
      </c>
      <c r="T44" s="5">
        <v>4</v>
      </c>
      <c r="U44" s="5">
        <v>3.2</v>
      </c>
      <c r="V44" s="5" t="s">
        <v>38</v>
      </c>
      <c r="W44" s="5">
        <v>1</v>
      </c>
      <c r="X44" s="5">
        <v>1</v>
      </c>
      <c r="Y44" s="5" t="s">
        <v>158</v>
      </c>
      <c r="AA44" s="9">
        <v>46217</v>
      </c>
    </row>
    <row r="45" spans="1:27" ht="15" customHeight="1" x14ac:dyDescent="0.2">
      <c r="A45" s="5">
        <v>44</v>
      </c>
      <c r="B45" s="5">
        <v>330808116</v>
      </c>
      <c r="C45" s="5">
        <v>4</v>
      </c>
      <c r="D45" s="5" t="s">
        <v>64</v>
      </c>
      <c r="E45" s="5">
        <v>8</v>
      </c>
      <c r="F45" s="5" t="s">
        <v>116</v>
      </c>
      <c r="G45" s="5">
        <v>188.5</v>
      </c>
      <c r="H45" s="5">
        <f t="shared" si="0"/>
        <v>5.2390980068880655</v>
      </c>
      <c r="I45" s="5"/>
      <c r="J45" s="5">
        <v>5</v>
      </c>
      <c r="K45" s="5">
        <v>5</v>
      </c>
      <c r="L45" s="6">
        <f t="shared" si="1"/>
        <v>1</v>
      </c>
      <c r="M45" s="5" t="s">
        <v>28</v>
      </c>
      <c r="N45" s="5"/>
      <c r="O45" s="5">
        <v>0</v>
      </c>
      <c r="P45" s="5">
        <v>250853100</v>
      </c>
      <c r="Q45" s="7" t="s">
        <v>159</v>
      </c>
      <c r="R45" s="5" t="s">
        <v>37</v>
      </c>
      <c r="S45" s="5">
        <v>3</v>
      </c>
      <c r="T45" s="5"/>
      <c r="U45" s="5">
        <v>3.4</v>
      </c>
      <c r="V45" s="5" t="s">
        <v>38</v>
      </c>
      <c r="W45" s="5">
        <v>1</v>
      </c>
      <c r="X45" s="5">
        <v>1</v>
      </c>
      <c r="Y45" s="5" t="s">
        <v>160</v>
      </c>
      <c r="AA45" s="9">
        <v>46217</v>
      </c>
    </row>
    <row r="46" spans="1:27" ht="384.75" customHeight="1" x14ac:dyDescent="0.2">
      <c r="A46" s="5">
        <v>45</v>
      </c>
      <c r="B46" s="5">
        <v>331900089</v>
      </c>
      <c r="C46" s="5">
        <v>4</v>
      </c>
      <c r="D46" s="5" t="s">
        <v>64</v>
      </c>
      <c r="E46" s="5">
        <v>8</v>
      </c>
      <c r="F46" s="5" t="s">
        <v>79</v>
      </c>
      <c r="G46" s="5">
        <v>183.1</v>
      </c>
      <c r="H46" s="5">
        <f t="shared" si="0"/>
        <v>5.2100324516804646</v>
      </c>
      <c r="I46" s="5">
        <v>150</v>
      </c>
      <c r="J46" s="5">
        <v>4</v>
      </c>
      <c r="K46" s="5">
        <v>6</v>
      </c>
      <c r="L46" s="6">
        <f t="shared" si="1"/>
        <v>0.66666666666666663</v>
      </c>
      <c r="M46" s="5" t="s">
        <v>28</v>
      </c>
      <c r="N46" s="5" t="s">
        <v>61</v>
      </c>
      <c r="O46" s="5">
        <v>1</v>
      </c>
      <c r="P46" s="5">
        <v>299000000</v>
      </c>
      <c r="Q46" s="7" t="s">
        <v>161</v>
      </c>
      <c r="R46" s="5" t="s">
        <v>37</v>
      </c>
      <c r="S46" s="5">
        <v>3</v>
      </c>
      <c r="T46" s="5">
        <v>2</v>
      </c>
      <c r="U46" s="5">
        <v>3.2</v>
      </c>
      <c r="V46" s="5" t="s">
        <v>38</v>
      </c>
      <c r="W46" s="5">
        <v>1</v>
      </c>
      <c r="X46" s="5">
        <v>1</v>
      </c>
      <c r="Y46" s="5" t="s">
        <v>162</v>
      </c>
      <c r="AA46" s="9">
        <v>46217</v>
      </c>
    </row>
    <row r="47" spans="1:27" ht="357" customHeight="1" x14ac:dyDescent="0.2">
      <c r="A47" s="5">
        <v>46</v>
      </c>
      <c r="B47" s="5">
        <v>330260237</v>
      </c>
      <c r="C47" s="5">
        <v>3</v>
      </c>
      <c r="D47" s="5" t="s">
        <v>26</v>
      </c>
      <c r="E47" s="5">
        <v>6</v>
      </c>
      <c r="F47" s="5" t="s">
        <v>163</v>
      </c>
      <c r="G47" s="5">
        <v>57.7</v>
      </c>
      <c r="H47" s="5">
        <f t="shared" si="0"/>
        <v>4.0552571735140539</v>
      </c>
      <c r="I47" s="5">
        <v>35.700000000000003</v>
      </c>
      <c r="J47" s="5">
        <v>6</v>
      </c>
      <c r="K47" s="5">
        <v>7</v>
      </c>
      <c r="L47" s="6">
        <f t="shared" si="1"/>
        <v>0.8571428571428571</v>
      </c>
      <c r="M47" s="5" t="s">
        <v>28</v>
      </c>
      <c r="N47" s="5" t="s">
        <v>61</v>
      </c>
      <c r="O47" s="5">
        <v>1</v>
      </c>
      <c r="P47" s="5">
        <v>50000000</v>
      </c>
      <c r="Q47" s="7" t="s">
        <v>164</v>
      </c>
      <c r="R47" s="5" t="s">
        <v>30</v>
      </c>
      <c r="S47" s="5">
        <v>2</v>
      </c>
      <c r="T47" s="5">
        <v>1</v>
      </c>
      <c r="U47" s="5">
        <v>3.2</v>
      </c>
      <c r="V47" s="5" t="s">
        <v>38</v>
      </c>
      <c r="W47" s="5">
        <v>1</v>
      </c>
      <c r="X47" s="5">
        <v>1</v>
      </c>
      <c r="Y47" s="5" t="s">
        <v>165</v>
      </c>
      <c r="AA47" s="9">
        <v>46217</v>
      </c>
    </row>
    <row r="48" spans="1:27" ht="357" customHeight="1" x14ac:dyDescent="0.2">
      <c r="A48" s="5">
        <v>47</v>
      </c>
      <c r="B48" s="5">
        <v>327386186</v>
      </c>
      <c r="C48" s="5">
        <v>5</v>
      </c>
      <c r="D48" s="5" t="s">
        <v>64</v>
      </c>
      <c r="E48" s="5">
        <v>9</v>
      </c>
      <c r="F48" s="5" t="s">
        <v>134</v>
      </c>
      <c r="G48" s="5">
        <v>350</v>
      </c>
      <c r="H48" s="5">
        <f t="shared" si="0"/>
        <v>5.857933154483459</v>
      </c>
      <c r="I48" s="5">
        <v>250</v>
      </c>
      <c r="J48" s="5">
        <v>5</v>
      </c>
      <c r="K48" s="5">
        <v>7</v>
      </c>
      <c r="L48" s="6">
        <f t="shared" si="1"/>
        <v>0.7142857142857143</v>
      </c>
      <c r="M48" s="5" t="s">
        <v>44</v>
      </c>
      <c r="N48" s="5" t="s">
        <v>35</v>
      </c>
      <c r="O48" s="5">
        <v>2</v>
      </c>
      <c r="P48" s="5">
        <v>998999999</v>
      </c>
      <c r="Q48" s="7" t="s">
        <v>166</v>
      </c>
      <c r="R48" s="5" t="s">
        <v>37</v>
      </c>
      <c r="S48" s="5">
        <v>3</v>
      </c>
      <c r="T48" s="5">
        <v>6</v>
      </c>
      <c r="U48" s="5">
        <v>3.2</v>
      </c>
      <c r="V48" s="5" t="s">
        <v>38</v>
      </c>
      <c r="W48" s="5">
        <v>1</v>
      </c>
      <c r="X48" s="5">
        <v>1</v>
      </c>
      <c r="Y48" s="5" t="s">
        <v>167</v>
      </c>
      <c r="AA48" s="9">
        <v>46217</v>
      </c>
    </row>
    <row r="49" spans="1:27" ht="15" customHeight="1" x14ac:dyDescent="0.2">
      <c r="A49" s="5">
        <v>48</v>
      </c>
      <c r="B49" s="5">
        <v>328668977</v>
      </c>
      <c r="C49" s="5">
        <v>3</v>
      </c>
      <c r="D49" s="5" t="s">
        <v>26</v>
      </c>
      <c r="E49" s="5">
        <v>10</v>
      </c>
      <c r="F49" s="5" t="s">
        <v>99</v>
      </c>
      <c r="G49" s="5">
        <v>115</v>
      </c>
      <c r="H49" s="5">
        <f t="shared" si="0"/>
        <v>4.7449321283632502</v>
      </c>
      <c r="I49" s="5"/>
      <c r="J49" s="5">
        <v>5</v>
      </c>
      <c r="K49" s="5">
        <v>5</v>
      </c>
      <c r="L49" s="6">
        <f t="shared" si="1"/>
        <v>1</v>
      </c>
      <c r="M49" s="5" t="s">
        <v>28</v>
      </c>
      <c r="N49" s="5" t="s">
        <v>61</v>
      </c>
      <c r="O49" s="5">
        <v>1</v>
      </c>
      <c r="P49" s="5">
        <v>150000000</v>
      </c>
      <c r="Q49" s="7" t="s">
        <v>168</v>
      </c>
      <c r="R49" s="5" t="s">
        <v>37</v>
      </c>
      <c r="S49" s="5">
        <v>3</v>
      </c>
      <c r="T49" s="5">
        <v>2</v>
      </c>
      <c r="U49" s="5">
        <v>3.5</v>
      </c>
      <c r="V49" s="5" t="s">
        <v>38</v>
      </c>
      <c r="W49" s="5">
        <v>1</v>
      </c>
      <c r="X49" s="5">
        <v>1</v>
      </c>
      <c r="Y49" s="5" t="s">
        <v>169</v>
      </c>
      <c r="AA49" s="9">
        <v>46217</v>
      </c>
    </row>
    <row r="50" spans="1:27" ht="399" customHeight="1" x14ac:dyDescent="0.2">
      <c r="A50" s="5">
        <v>49</v>
      </c>
      <c r="B50" s="5">
        <v>328668891</v>
      </c>
      <c r="C50" s="5">
        <v>2</v>
      </c>
      <c r="D50" s="5" t="s">
        <v>54</v>
      </c>
      <c r="E50" s="5">
        <v>9</v>
      </c>
      <c r="F50" s="5" t="s">
        <v>170</v>
      </c>
      <c r="G50" s="5">
        <v>50</v>
      </c>
      <c r="H50" s="5">
        <f t="shared" si="0"/>
        <v>3.912023005428146</v>
      </c>
      <c r="I50" s="5"/>
      <c r="J50" s="5">
        <v>5</v>
      </c>
      <c r="K50" s="5">
        <v>5</v>
      </c>
      <c r="L50" s="6">
        <f t="shared" si="1"/>
        <v>1</v>
      </c>
      <c r="M50" s="5" t="s">
        <v>28</v>
      </c>
      <c r="N50" s="5" t="s">
        <v>61</v>
      </c>
      <c r="O50" s="5">
        <v>1</v>
      </c>
      <c r="P50" s="5">
        <v>59900000</v>
      </c>
      <c r="Q50" s="7" t="s">
        <v>171</v>
      </c>
      <c r="R50" s="5" t="s">
        <v>37</v>
      </c>
      <c r="S50" s="5">
        <v>3</v>
      </c>
      <c r="T50" s="5">
        <v>1</v>
      </c>
      <c r="U50" s="5">
        <v>3.3</v>
      </c>
      <c r="V50" s="5" t="s">
        <v>38</v>
      </c>
      <c r="W50" s="5">
        <v>1</v>
      </c>
      <c r="X50" s="5">
        <v>1</v>
      </c>
      <c r="Y50" s="5" t="s">
        <v>172</v>
      </c>
      <c r="AA50" s="9">
        <v>46217</v>
      </c>
    </row>
    <row r="51" spans="1:27" ht="225.75" customHeight="1" x14ac:dyDescent="0.2">
      <c r="A51" s="5">
        <v>50</v>
      </c>
      <c r="B51" s="5">
        <v>329478523</v>
      </c>
      <c r="C51" s="5">
        <v>4</v>
      </c>
      <c r="D51" s="5" t="s">
        <v>54</v>
      </c>
      <c r="E51" s="5">
        <v>8</v>
      </c>
      <c r="F51" s="5" t="s">
        <v>173</v>
      </c>
      <c r="G51" s="5">
        <v>119.3</v>
      </c>
      <c r="H51" s="5">
        <f t="shared" si="0"/>
        <v>4.78164132910387</v>
      </c>
      <c r="I51" s="5">
        <v>76</v>
      </c>
      <c r="J51" s="5">
        <v>2</v>
      </c>
      <c r="K51" s="5">
        <v>4</v>
      </c>
      <c r="L51" s="6">
        <f t="shared" si="1"/>
        <v>0.5</v>
      </c>
      <c r="M51" s="5" t="s">
        <v>28</v>
      </c>
      <c r="N51" s="5" t="s">
        <v>67</v>
      </c>
      <c r="O51" s="5">
        <v>1</v>
      </c>
      <c r="P51" s="5">
        <v>100000000</v>
      </c>
      <c r="Q51" s="5" t="s">
        <v>174</v>
      </c>
      <c r="R51" s="5" t="s">
        <v>37</v>
      </c>
      <c r="S51" s="5">
        <v>3</v>
      </c>
      <c r="T51" s="5">
        <v>2</v>
      </c>
      <c r="U51" s="5">
        <v>3.3</v>
      </c>
      <c r="V51" s="5" t="s">
        <v>38</v>
      </c>
      <c r="W51" s="5">
        <v>1</v>
      </c>
      <c r="X51" s="5">
        <v>1</v>
      </c>
      <c r="Y51" s="5" t="s">
        <v>175</v>
      </c>
      <c r="AA51" s="9">
        <v>46217</v>
      </c>
    </row>
    <row r="52" spans="1:27" ht="342.75" customHeight="1" x14ac:dyDescent="0.2">
      <c r="A52" s="5">
        <v>51</v>
      </c>
      <c r="B52" s="5">
        <v>325977970</v>
      </c>
      <c r="C52" s="5">
        <v>3</v>
      </c>
      <c r="D52" s="5" t="s">
        <v>54</v>
      </c>
      <c r="E52" s="5">
        <v>6</v>
      </c>
      <c r="F52" s="5" t="s">
        <v>176</v>
      </c>
      <c r="G52" s="5">
        <v>135.80000000000001</v>
      </c>
      <c r="H52" s="5">
        <f t="shared" si="0"/>
        <v>4.9111832151245958</v>
      </c>
      <c r="I52" s="5">
        <v>54.6</v>
      </c>
      <c r="J52" s="5">
        <v>4</v>
      </c>
      <c r="K52" s="5">
        <v>4</v>
      </c>
      <c r="L52" s="6">
        <f t="shared" si="1"/>
        <v>1</v>
      </c>
      <c r="M52" s="5" t="s">
        <v>28</v>
      </c>
      <c r="N52" s="5"/>
      <c r="O52" s="5">
        <v>0</v>
      </c>
      <c r="P52" s="5">
        <v>84500000</v>
      </c>
      <c r="Q52" s="7" t="s">
        <v>177</v>
      </c>
      <c r="R52" s="5" t="s">
        <v>30</v>
      </c>
      <c r="S52" s="5">
        <v>2</v>
      </c>
      <c r="T52" s="5">
        <v>2</v>
      </c>
      <c r="U52" s="5"/>
      <c r="V52" s="5"/>
      <c r="W52" s="5"/>
      <c r="X52" s="5">
        <v>1</v>
      </c>
      <c r="Y52" s="5" t="s">
        <v>178</v>
      </c>
      <c r="AA52" s="9">
        <v>46217</v>
      </c>
    </row>
    <row r="53" spans="1:27" ht="399" customHeight="1" x14ac:dyDescent="0.2">
      <c r="A53" s="5">
        <v>52</v>
      </c>
      <c r="B53" s="5">
        <v>331670184</v>
      </c>
      <c r="C53" s="5">
        <v>3</v>
      </c>
      <c r="D53" s="5" t="s">
        <v>54</v>
      </c>
      <c r="E53" s="5">
        <v>11</v>
      </c>
      <c r="F53" s="5" t="s">
        <v>139</v>
      </c>
      <c r="G53" s="5">
        <v>85.5</v>
      </c>
      <c r="H53" s="5">
        <f t="shared" si="0"/>
        <v>4.4485163759427149</v>
      </c>
      <c r="I53" s="5">
        <v>58.7</v>
      </c>
      <c r="J53" s="5">
        <v>3</v>
      </c>
      <c r="K53" s="5">
        <v>11</v>
      </c>
      <c r="L53" s="6">
        <f t="shared" si="1"/>
        <v>0.27272727272727271</v>
      </c>
      <c r="M53" s="5" t="s">
        <v>66</v>
      </c>
      <c r="N53" s="5"/>
      <c r="O53" s="5">
        <v>0</v>
      </c>
      <c r="P53" s="5">
        <v>83000000</v>
      </c>
      <c r="Q53" s="7" t="s">
        <v>179</v>
      </c>
      <c r="R53" s="5" t="s">
        <v>37</v>
      </c>
      <c r="S53" s="5">
        <v>3</v>
      </c>
      <c r="T53" s="5">
        <v>2</v>
      </c>
      <c r="U53" s="5">
        <v>3</v>
      </c>
      <c r="V53" s="5" t="s">
        <v>38</v>
      </c>
      <c r="W53" s="5">
        <v>1</v>
      </c>
      <c r="X53" s="5">
        <v>1</v>
      </c>
      <c r="Y53" s="5" t="s">
        <v>180</v>
      </c>
      <c r="AA53" s="9">
        <v>46217</v>
      </c>
    </row>
    <row r="54" spans="1:27" ht="370.5" customHeight="1" x14ac:dyDescent="0.2">
      <c r="A54" s="5">
        <v>53</v>
      </c>
      <c r="B54" s="5">
        <v>329142414</v>
      </c>
      <c r="C54" s="5">
        <v>2</v>
      </c>
      <c r="D54" s="5" t="s">
        <v>64</v>
      </c>
      <c r="E54" s="5">
        <v>8</v>
      </c>
      <c r="F54" s="5" t="s">
        <v>181</v>
      </c>
      <c r="G54" s="5">
        <v>40</v>
      </c>
      <c r="H54" s="5">
        <f t="shared" si="0"/>
        <v>3.6888794541139363</v>
      </c>
      <c r="I54" s="5"/>
      <c r="J54" s="5">
        <v>2</v>
      </c>
      <c r="K54" s="5">
        <v>6</v>
      </c>
      <c r="L54" s="6">
        <f t="shared" si="1"/>
        <v>0.33333333333333331</v>
      </c>
      <c r="M54" s="5" t="s">
        <v>28</v>
      </c>
      <c r="N54" s="5" t="s">
        <v>61</v>
      </c>
      <c r="O54" s="5">
        <v>1</v>
      </c>
      <c r="P54" s="5">
        <v>31200000</v>
      </c>
      <c r="Q54" s="7" t="s">
        <v>182</v>
      </c>
      <c r="R54" s="5" t="s">
        <v>41</v>
      </c>
      <c r="S54" s="5">
        <v>0</v>
      </c>
      <c r="T54" s="5">
        <v>1</v>
      </c>
      <c r="U54" s="5">
        <v>3.8</v>
      </c>
      <c r="V54" s="5" t="s">
        <v>31</v>
      </c>
      <c r="W54" s="5">
        <v>2</v>
      </c>
      <c r="X54" s="5">
        <v>1</v>
      </c>
      <c r="Y54" s="5" t="s">
        <v>183</v>
      </c>
      <c r="AA54" s="9">
        <v>46217</v>
      </c>
    </row>
    <row r="55" spans="1:27" ht="225.75" customHeight="1" x14ac:dyDescent="0.2">
      <c r="A55" s="5">
        <v>54</v>
      </c>
      <c r="B55" s="5">
        <v>329142335</v>
      </c>
      <c r="C55" s="5">
        <v>1</v>
      </c>
      <c r="D55" s="5" t="s">
        <v>64</v>
      </c>
      <c r="E55" s="5">
        <v>8</v>
      </c>
      <c r="F55" s="5" t="s">
        <v>181</v>
      </c>
      <c r="G55" s="5">
        <v>18.600000000000001</v>
      </c>
      <c r="H55" s="5">
        <f t="shared" si="0"/>
        <v>2.9231615807191558</v>
      </c>
      <c r="I55" s="5">
        <v>5</v>
      </c>
      <c r="J55" s="5">
        <v>2</v>
      </c>
      <c r="K55" s="5">
        <v>6</v>
      </c>
      <c r="L55" s="6">
        <f t="shared" si="1"/>
        <v>0.33333333333333331</v>
      </c>
      <c r="M55" s="5" t="s">
        <v>28</v>
      </c>
      <c r="N55" s="5" t="s">
        <v>61</v>
      </c>
      <c r="O55" s="5">
        <v>1</v>
      </c>
      <c r="P55" s="5">
        <v>14508000</v>
      </c>
      <c r="Q55" s="7" t="s">
        <v>184</v>
      </c>
      <c r="R55" s="5" t="s">
        <v>37</v>
      </c>
      <c r="S55" s="5">
        <v>3</v>
      </c>
      <c r="T55" s="5">
        <v>1</v>
      </c>
      <c r="U55" s="5">
        <v>3.8</v>
      </c>
      <c r="V55" s="5" t="s">
        <v>31</v>
      </c>
      <c r="W55" s="5">
        <v>2</v>
      </c>
      <c r="X55" s="5">
        <v>1</v>
      </c>
      <c r="Y55" s="5" t="s">
        <v>185</v>
      </c>
      <c r="AA55" s="9">
        <v>46217</v>
      </c>
    </row>
    <row r="56" spans="1:27" ht="342.75" customHeight="1" x14ac:dyDescent="0.2">
      <c r="A56" s="5">
        <v>55</v>
      </c>
      <c r="B56" s="5">
        <v>329090847</v>
      </c>
      <c r="C56" s="5">
        <v>3</v>
      </c>
      <c r="D56" s="5" t="s">
        <v>54</v>
      </c>
      <c r="E56" s="5">
        <v>7</v>
      </c>
      <c r="F56" s="5" t="s">
        <v>186</v>
      </c>
      <c r="G56" s="5">
        <v>60</v>
      </c>
      <c r="H56" s="5">
        <f t="shared" si="0"/>
        <v>4.0943445622221004</v>
      </c>
      <c r="I56" s="5">
        <v>39.200000000000003</v>
      </c>
      <c r="J56" s="5">
        <v>2</v>
      </c>
      <c r="K56" s="5">
        <v>4</v>
      </c>
      <c r="L56" s="6">
        <f t="shared" si="1"/>
        <v>0.5</v>
      </c>
      <c r="M56" s="5" t="s">
        <v>28</v>
      </c>
      <c r="N56" s="5"/>
      <c r="O56" s="5">
        <v>0</v>
      </c>
      <c r="P56" s="5">
        <v>49300000</v>
      </c>
      <c r="Q56" s="7" t="s">
        <v>187</v>
      </c>
      <c r="R56" s="5" t="s">
        <v>30</v>
      </c>
      <c r="S56" s="5">
        <v>2</v>
      </c>
      <c r="T56" s="5">
        <v>1</v>
      </c>
      <c r="U56" s="5">
        <v>3.5</v>
      </c>
      <c r="V56" s="5" t="s">
        <v>38</v>
      </c>
      <c r="W56" s="5">
        <v>1</v>
      </c>
      <c r="X56" s="5">
        <v>1</v>
      </c>
      <c r="Y56" s="5" t="s">
        <v>188</v>
      </c>
      <c r="AA56" s="9">
        <v>46217</v>
      </c>
    </row>
    <row r="57" spans="1:27" ht="328.5" customHeight="1" x14ac:dyDescent="0.2">
      <c r="A57" s="5">
        <v>56</v>
      </c>
      <c r="B57" s="5">
        <v>329268421</v>
      </c>
      <c r="C57" s="5">
        <v>2</v>
      </c>
      <c r="D57" s="5" t="s">
        <v>33</v>
      </c>
      <c r="E57" s="5">
        <v>11</v>
      </c>
      <c r="F57" s="5" t="s">
        <v>93</v>
      </c>
      <c r="G57" s="5">
        <v>50</v>
      </c>
      <c r="H57" s="5">
        <f t="shared" si="0"/>
        <v>3.912023005428146</v>
      </c>
      <c r="I57" s="5">
        <v>20</v>
      </c>
      <c r="J57" s="5">
        <v>5</v>
      </c>
      <c r="K57" s="5">
        <v>7</v>
      </c>
      <c r="L57" s="6">
        <f t="shared" si="1"/>
        <v>0.7142857142857143</v>
      </c>
      <c r="M57" s="5" t="s">
        <v>28</v>
      </c>
      <c r="N57" s="5" t="s">
        <v>61</v>
      </c>
      <c r="O57" s="5">
        <v>1</v>
      </c>
      <c r="P57" s="5">
        <v>65000000</v>
      </c>
      <c r="Q57" s="7" t="s">
        <v>189</v>
      </c>
      <c r="R57" s="5" t="s">
        <v>37</v>
      </c>
      <c r="S57" s="5">
        <v>3</v>
      </c>
      <c r="T57" s="5">
        <v>1</v>
      </c>
      <c r="U57" s="5">
        <v>3</v>
      </c>
      <c r="V57" s="5" t="s">
        <v>38</v>
      </c>
      <c r="W57" s="5">
        <v>1</v>
      </c>
      <c r="X57" s="5">
        <v>1</v>
      </c>
      <c r="Y57" s="5" t="s">
        <v>190</v>
      </c>
      <c r="AA57" s="9">
        <v>46217</v>
      </c>
    </row>
    <row r="58" spans="1:27" ht="225.75" customHeight="1" x14ac:dyDescent="0.2">
      <c r="A58" s="5">
        <v>57</v>
      </c>
      <c r="B58" s="5">
        <v>328540478</v>
      </c>
      <c r="C58" s="5">
        <v>3</v>
      </c>
      <c r="D58" s="5" t="s">
        <v>64</v>
      </c>
      <c r="E58" s="5">
        <v>7</v>
      </c>
      <c r="F58" s="5" t="s">
        <v>191</v>
      </c>
      <c r="G58" s="5">
        <v>74.5</v>
      </c>
      <c r="H58" s="5">
        <f t="shared" si="0"/>
        <v>4.3107991253855138</v>
      </c>
      <c r="I58" s="5">
        <v>48.4</v>
      </c>
      <c r="J58" s="5">
        <v>10</v>
      </c>
      <c r="K58" s="5">
        <v>10</v>
      </c>
      <c r="L58" s="6">
        <f t="shared" si="1"/>
        <v>1</v>
      </c>
      <c r="M58" s="5" t="s">
        <v>28</v>
      </c>
      <c r="N58" s="5" t="s">
        <v>61</v>
      </c>
      <c r="O58" s="5">
        <v>1</v>
      </c>
      <c r="P58" s="5">
        <v>55000000</v>
      </c>
      <c r="Q58" s="7" t="s">
        <v>192</v>
      </c>
      <c r="R58" s="5" t="s">
        <v>37</v>
      </c>
      <c r="S58" s="5">
        <v>3</v>
      </c>
      <c r="T58" s="5">
        <v>1</v>
      </c>
      <c r="U58" s="5">
        <v>3</v>
      </c>
      <c r="V58" s="5" t="s">
        <v>38</v>
      </c>
      <c r="W58" s="5">
        <v>1</v>
      </c>
      <c r="X58" s="5">
        <v>1</v>
      </c>
      <c r="Y58" s="5" t="s">
        <v>193</v>
      </c>
      <c r="AA58" s="9">
        <v>46217</v>
      </c>
    </row>
    <row r="59" spans="1:27" ht="409.5" customHeight="1" x14ac:dyDescent="0.2">
      <c r="A59" s="5">
        <v>58</v>
      </c>
      <c r="B59" s="5">
        <v>330961021</v>
      </c>
      <c r="C59" s="5">
        <v>1</v>
      </c>
      <c r="D59" s="5" t="s">
        <v>26</v>
      </c>
      <c r="E59" s="5">
        <v>8</v>
      </c>
      <c r="F59" s="5" t="s">
        <v>87</v>
      </c>
      <c r="G59" s="5">
        <v>70</v>
      </c>
      <c r="H59" s="5">
        <f t="shared" si="0"/>
        <v>4.2484952420493594</v>
      </c>
      <c r="I59" s="5"/>
      <c r="J59" s="5">
        <v>3</v>
      </c>
      <c r="K59" s="5">
        <v>9</v>
      </c>
      <c r="L59" s="6">
        <f t="shared" si="1"/>
        <v>0.33333333333333331</v>
      </c>
      <c r="M59" s="5"/>
      <c r="N59" s="5" t="s">
        <v>61</v>
      </c>
      <c r="O59" s="5">
        <v>1</v>
      </c>
      <c r="P59" s="5">
        <v>70000000</v>
      </c>
      <c r="Q59" s="7" t="s">
        <v>194</v>
      </c>
      <c r="R59" s="5" t="s">
        <v>37</v>
      </c>
      <c r="S59" s="5">
        <v>3</v>
      </c>
      <c r="T59" s="5">
        <v>1</v>
      </c>
      <c r="U59" s="5"/>
      <c r="V59" s="5"/>
      <c r="W59" s="5"/>
      <c r="X59" s="5">
        <v>1</v>
      </c>
      <c r="Y59" s="5" t="s">
        <v>195</v>
      </c>
      <c r="AA59" s="9">
        <v>46217</v>
      </c>
    </row>
    <row r="60" spans="1:27" ht="342.75" customHeight="1" x14ac:dyDescent="0.2">
      <c r="A60" s="5">
        <v>59</v>
      </c>
      <c r="B60" s="5">
        <v>327316916</v>
      </c>
      <c r="C60" s="5">
        <v>3</v>
      </c>
      <c r="D60" s="5" t="s">
        <v>54</v>
      </c>
      <c r="E60" s="5">
        <v>6</v>
      </c>
      <c r="F60" s="5" t="s">
        <v>82</v>
      </c>
      <c r="G60" s="5">
        <v>120</v>
      </c>
      <c r="H60" s="5">
        <f t="shared" si="0"/>
        <v>4.7874917427820458</v>
      </c>
      <c r="I60" s="5"/>
      <c r="J60" s="5">
        <v>4</v>
      </c>
      <c r="K60" s="5">
        <v>9</v>
      </c>
      <c r="L60" s="6">
        <f t="shared" si="1"/>
        <v>0.44444444444444442</v>
      </c>
      <c r="M60" s="5" t="s">
        <v>57</v>
      </c>
      <c r="N60" s="5" t="s">
        <v>35</v>
      </c>
      <c r="O60" s="5">
        <v>2</v>
      </c>
      <c r="P60" s="5">
        <v>140000000</v>
      </c>
      <c r="Q60" s="7" t="s">
        <v>196</v>
      </c>
      <c r="R60" s="5" t="s">
        <v>37</v>
      </c>
      <c r="S60" s="5">
        <v>3</v>
      </c>
      <c r="T60" s="5">
        <v>2</v>
      </c>
      <c r="U60" s="5">
        <v>3.1</v>
      </c>
      <c r="V60" s="5" t="s">
        <v>38</v>
      </c>
      <c r="W60" s="5">
        <v>1</v>
      </c>
      <c r="X60" s="5">
        <v>1</v>
      </c>
      <c r="Y60" s="5" t="s">
        <v>197</v>
      </c>
      <c r="AA60" s="9">
        <v>46217</v>
      </c>
    </row>
    <row r="61" spans="1:27" ht="409.5" customHeight="1" x14ac:dyDescent="0.2">
      <c r="A61" s="5">
        <v>60</v>
      </c>
      <c r="B61" s="5">
        <v>329000365</v>
      </c>
      <c r="C61" s="5">
        <v>4</v>
      </c>
      <c r="D61" s="5" t="s">
        <v>26</v>
      </c>
      <c r="E61" s="5">
        <v>10</v>
      </c>
      <c r="F61" s="5" t="s">
        <v>198</v>
      </c>
      <c r="G61" s="5">
        <v>155.9</v>
      </c>
      <c r="H61" s="5">
        <f t="shared" si="0"/>
        <v>5.0492147760637307</v>
      </c>
      <c r="I61" s="5">
        <v>60</v>
      </c>
      <c r="J61" s="5">
        <v>5</v>
      </c>
      <c r="K61" s="5">
        <v>9</v>
      </c>
      <c r="L61" s="6">
        <f t="shared" si="1"/>
        <v>0.55555555555555558</v>
      </c>
      <c r="M61" s="5" t="s">
        <v>28</v>
      </c>
      <c r="N61" s="5" t="s">
        <v>35</v>
      </c>
      <c r="O61" s="5">
        <v>2</v>
      </c>
      <c r="P61" s="5">
        <v>219900000</v>
      </c>
      <c r="Q61" s="7" t="s">
        <v>199</v>
      </c>
      <c r="R61" s="5" t="s">
        <v>37</v>
      </c>
      <c r="S61" s="5">
        <v>3</v>
      </c>
      <c r="T61" s="5">
        <v>3</v>
      </c>
      <c r="U61" s="5">
        <v>3</v>
      </c>
      <c r="V61" s="5" t="s">
        <v>38</v>
      </c>
      <c r="W61" s="5">
        <v>1</v>
      </c>
      <c r="X61" s="5">
        <v>1</v>
      </c>
      <c r="Y61" s="5" t="s">
        <v>200</v>
      </c>
      <c r="AA61" s="9">
        <v>46217</v>
      </c>
    </row>
    <row r="62" spans="1:27" ht="370.5" customHeight="1" x14ac:dyDescent="0.2">
      <c r="A62" s="5">
        <v>61</v>
      </c>
      <c r="B62" s="5">
        <v>327109927</v>
      </c>
      <c r="C62" s="5">
        <v>5</v>
      </c>
      <c r="D62" s="5" t="s">
        <v>54</v>
      </c>
      <c r="E62" s="5">
        <v>10</v>
      </c>
      <c r="F62" s="5" t="s">
        <v>201</v>
      </c>
      <c r="G62" s="5">
        <v>122.8</v>
      </c>
      <c r="H62" s="5">
        <f t="shared" si="0"/>
        <v>4.8105570157130417</v>
      </c>
      <c r="I62" s="5"/>
      <c r="J62" s="5">
        <v>4</v>
      </c>
      <c r="K62" s="5">
        <v>6</v>
      </c>
      <c r="L62" s="6">
        <f t="shared" si="1"/>
        <v>0.66666666666666663</v>
      </c>
      <c r="M62" s="5" t="s">
        <v>28</v>
      </c>
      <c r="N62" s="5"/>
      <c r="O62" s="5">
        <v>0</v>
      </c>
      <c r="P62" s="5">
        <v>129000000</v>
      </c>
      <c r="Q62" s="7" t="s">
        <v>202</v>
      </c>
      <c r="R62" s="5" t="s">
        <v>30</v>
      </c>
      <c r="S62" s="5">
        <v>2</v>
      </c>
      <c r="T62" s="5">
        <v>3</v>
      </c>
      <c r="U62" s="5">
        <v>3.4</v>
      </c>
      <c r="V62" s="5" t="s">
        <v>38</v>
      </c>
      <c r="W62" s="5">
        <v>1</v>
      </c>
      <c r="X62" s="5">
        <v>1</v>
      </c>
      <c r="Y62" s="5" t="s">
        <v>203</v>
      </c>
      <c r="AA62" s="9">
        <v>46217</v>
      </c>
    </row>
    <row r="63" spans="1:27" ht="384.75" customHeight="1" x14ac:dyDescent="0.2">
      <c r="A63" s="5">
        <v>62</v>
      </c>
      <c r="B63" s="5">
        <v>331118780</v>
      </c>
      <c r="C63" s="5">
        <v>3</v>
      </c>
      <c r="D63" s="5" t="s">
        <v>26</v>
      </c>
      <c r="E63" s="5">
        <v>8</v>
      </c>
      <c r="F63" s="5" t="s">
        <v>204</v>
      </c>
      <c r="G63" s="5">
        <v>90</v>
      </c>
      <c r="H63" s="5">
        <f t="shared" si="0"/>
        <v>4.499809670330265</v>
      </c>
      <c r="I63" s="5"/>
      <c r="J63" s="5">
        <v>9</v>
      </c>
      <c r="K63" s="5">
        <v>17</v>
      </c>
      <c r="L63" s="6">
        <f t="shared" si="1"/>
        <v>0.52941176470588236</v>
      </c>
      <c r="M63" s="5" t="s">
        <v>28</v>
      </c>
      <c r="N63" s="5" t="s">
        <v>61</v>
      </c>
      <c r="O63" s="5">
        <v>1</v>
      </c>
      <c r="P63" s="5">
        <v>90000000</v>
      </c>
      <c r="Q63" s="7" t="s">
        <v>205</v>
      </c>
      <c r="R63" s="5" t="s">
        <v>37</v>
      </c>
      <c r="S63" s="5">
        <v>3</v>
      </c>
      <c r="T63" s="5">
        <v>1</v>
      </c>
      <c r="U63" s="5">
        <v>2.4</v>
      </c>
      <c r="V63" s="5" t="s">
        <v>52</v>
      </c>
      <c r="W63" s="5">
        <v>0</v>
      </c>
      <c r="X63" s="5">
        <v>1</v>
      </c>
      <c r="Y63" s="5" t="s">
        <v>206</v>
      </c>
      <c r="AA63" s="9">
        <v>46217</v>
      </c>
    </row>
    <row r="64" spans="1:27" ht="270.75" customHeight="1" x14ac:dyDescent="0.2">
      <c r="A64" s="5">
        <v>63</v>
      </c>
      <c r="B64" s="5">
        <v>239369495</v>
      </c>
      <c r="C64" s="5">
        <v>3</v>
      </c>
      <c r="D64" s="5" t="s">
        <v>26</v>
      </c>
      <c r="E64" s="5">
        <v>8</v>
      </c>
      <c r="F64" s="5" t="s">
        <v>207</v>
      </c>
      <c r="G64" s="5">
        <v>69</v>
      </c>
      <c r="H64" s="5">
        <f t="shared" si="0"/>
        <v>4.2341065045972597</v>
      </c>
      <c r="I64" s="5">
        <v>28</v>
      </c>
      <c r="J64" s="5">
        <v>5</v>
      </c>
      <c r="K64" s="5">
        <v>6</v>
      </c>
      <c r="L64" s="6">
        <f t="shared" si="1"/>
        <v>0.83333333333333337</v>
      </c>
      <c r="M64" s="5" t="s">
        <v>28</v>
      </c>
      <c r="N64" s="5" t="s">
        <v>61</v>
      </c>
      <c r="O64" s="5">
        <v>1</v>
      </c>
      <c r="P64" s="5">
        <v>66000000</v>
      </c>
      <c r="Q64" s="7" t="s">
        <v>208</v>
      </c>
      <c r="R64" s="5" t="s">
        <v>37</v>
      </c>
      <c r="S64" s="5">
        <v>3</v>
      </c>
      <c r="T64" s="5">
        <v>1</v>
      </c>
      <c r="U64" s="5">
        <v>3</v>
      </c>
      <c r="V64" s="5" t="s">
        <v>38</v>
      </c>
      <c r="W64" s="5">
        <v>1</v>
      </c>
      <c r="X64" s="5">
        <v>1</v>
      </c>
      <c r="Y64" s="5" t="s">
        <v>209</v>
      </c>
      <c r="AA64" s="9">
        <v>46217</v>
      </c>
    </row>
    <row r="65" spans="1:27" ht="285.75" customHeight="1" x14ac:dyDescent="0.2">
      <c r="A65" s="5">
        <v>64</v>
      </c>
      <c r="B65" s="5">
        <v>330947220</v>
      </c>
      <c r="C65" s="5">
        <v>2</v>
      </c>
      <c r="D65" s="5" t="s">
        <v>26</v>
      </c>
      <c r="E65" s="5">
        <v>9</v>
      </c>
      <c r="F65" s="5" t="s">
        <v>210</v>
      </c>
      <c r="G65" s="5">
        <v>77</v>
      </c>
      <c r="H65" s="5">
        <f t="shared" si="0"/>
        <v>4.3438054218536841</v>
      </c>
      <c r="I65" s="5">
        <v>30</v>
      </c>
      <c r="J65" s="5">
        <v>3</v>
      </c>
      <c r="K65" s="5">
        <v>5</v>
      </c>
      <c r="L65" s="6">
        <f t="shared" si="1"/>
        <v>0.6</v>
      </c>
      <c r="M65" s="5" t="s">
        <v>28</v>
      </c>
      <c r="N65" s="5" t="s">
        <v>61</v>
      </c>
      <c r="O65" s="5">
        <v>1</v>
      </c>
      <c r="P65" s="5">
        <v>90000000</v>
      </c>
      <c r="Q65" s="5" t="s">
        <v>211</v>
      </c>
      <c r="R65" s="5" t="s">
        <v>37</v>
      </c>
      <c r="S65" s="5">
        <v>3</v>
      </c>
      <c r="T65" s="5">
        <v>2</v>
      </c>
      <c r="U65" s="5">
        <v>3</v>
      </c>
      <c r="V65" s="5" t="s">
        <v>38</v>
      </c>
      <c r="W65" s="5">
        <v>1</v>
      </c>
      <c r="X65" s="5">
        <v>1</v>
      </c>
      <c r="Y65" s="5" t="s">
        <v>212</v>
      </c>
      <c r="AA65" s="9">
        <v>46217</v>
      </c>
    </row>
    <row r="66" spans="1:27" ht="300.75" customHeight="1" x14ac:dyDescent="0.2">
      <c r="A66" s="5">
        <v>65</v>
      </c>
      <c r="B66" s="5">
        <v>329534496</v>
      </c>
      <c r="C66" s="5">
        <v>3</v>
      </c>
      <c r="D66" s="5" t="s">
        <v>26</v>
      </c>
      <c r="E66" s="5">
        <v>7</v>
      </c>
      <c r="F66" s="5" t="s">
        <v>213</v>
      </c>
      <c r="G66" s="5">
        <v>69.3</v>
      </c>
      <c r="H66" s="5">
        <f t="shared" ref="H66:H129" si="2">LN(G66)</f>
        <v>4.2384449061958573</v>
      </c>
      <c r="I66" s="5">
        <v>38.9</v>
      </c>
      <c r="J66" s="5">
        <v>2</v>
      </c>
      <c r="K66" s="5">
        <v>6</v>
      </c>
      <c r="L66" s="6">
        <f t="shared" ref="L66:L129" si="3">J66/K66</f>
        <v>0.33333333333333331</v>
      </c>
      <c r="M66" s="5" t="s">
        <v>28</v>
      </c>
      <c r="N66" s="5" t="s">
        <v>61</v>
      </c>
      <c r="O66" s="5">
        <v>1</v>
      </c>
      <c r="P66" s="5">
        <v>88500000</v>
      </c>
      <c r="Q66" s="7" t="s">
        <v>214</v>
      </c>
      <c r="R66" s="5" t="s">
        <v>37</v>
      </c>
      <c r="S66" s="5">
        <v>3</v>
      </c>
      <c r="T66" s="5">
        <v>2</v>
      </c>
      <c r="U66" s="5">
        <v>3.2</v>
      </c>
      <c r="V66" s="5" t="s">
        <v>38</v>
      </c>
      <c r="W66" s="5">
        <v>1</v>
      </c>
      <c r="X66" s="5">
        <v>1</v>
      </c>
      <c r="Y66" s="5" t="s">
        <v>215</v>
      </c>
      <c r="AA66" s="9">
        <v>46217</v>
      </c>
    </row>
    <row r="67" spans="1:27" ht="384.75" customHeight="1" x14ac:dyDescent="0.2">
      <c r="A67" s="5">
        <v>66</v>
      </c>
      <c r="B67" s="5">
        <v>325461294</v>
      </c>
      <c r="C67" s="5">
        <v>4</v>
      </c>
      <c r="D67" s="5" t="s">
        <v>33</v>
      </c>
      <c r="E67" s="5">
        <v>11</v>
      </c>
      <c r="F67" s="5" t="s">
        <v>93</v>
      </c>
      <c r="G67" s="5">
        <v>81.8</v>
      </c>
      <c r="H67" s="5">
        <f t="shared" si="2"/>
        <v>4.4042772436087017</v>
      </c>
      <c r="I67" s="5">
        <v>54.2</v>
      </c>
      <c r="J67" s="5">
        <v>1</v>
      </c>
      <c r="K67" s="5">
        <v>9</v>
      </c>
      <c r="L67" s="6">
        <f t="shared" si="3"/>
        <v>0.1111111111111111</v>
      </c>
      <c r="M67" s="5" t="s">
        <v>28</v>
      </c>
      <c r="N67" s="5" t="s">
        <v>61</v>
      </c>
      <c r="O67" s="5">
        <v>1</v>
      </c>
      <c r="P67" s="5">
        <v>44999000</v>
      </c>
      <c r="Q67" s="7" t="s">
        <v>216</v>
      </c>
      <c r="R67" s="5" t="s">
        <v>30</v>
      </c>
      <c r="S67" s="5">
        <v>2</v>
      </c>
      <c r="T67" s="5">
        <v>1</v>
      </c>
      <c r="U67" s="5">
        <v>3</v>
      </c>
      <c r="V67" s="5" t="s">
        <v>38</v>
      </c>
      <c r="W67" s="5">
        <v>1</v>
      </c>
      <c r="X67" s="5">
        <v>1</v>
      </c>
      <c r="Y67" s="5" t="s">
        <v>217</v>
      </c>
      <c r="AA67" s="9">
        <v>46217</v>
      </c>
    </row>
    <row r="68" spans="1:27" ht="195.75" customHeight="1" x14ac:dyDescent="0.2">
      <c r="A68" s="5">
        <v>67</v>
      </c>
      <c r="B68" s="5">
        <v>322268201</v>
      </c>
      <c r="C68" s="5">
        <v>5</v>
      </c>
      <c r="D68" s="5" t="s">
        <v>54</v>
      </c>
      <c r="E68" s="5">
        <v>10</v>
      </c>
      <c r="F68" s="5" t="s">
        <v>201</v>
      </c>
      <c r="G68" s="5">
        <v>122.8</v>
      </c>
      <c r="H68" s="5">
        <f t="shared" si="2"/>
        <v>4.8105570157130417</v>
      </c>
      <c r="I68" s="5">
        <v>81.7</v>
      </c>
      <c r="J68" s="5">
        <v>4</v>
      </c>
      <c r="K68" s="5">
        <v>6</v>
      </c>
      <c r="L68" s="6">
        <f t="shared" si="3"/>
        <v>0.66666666666666663</v>
      </c>
      <c r="M68" s="5" t="s">
        <v>28</v>
      </c>
      <c r="N68" s="5" t="s">
        <v>61</v>
      </c>
      <c r="O68" s="5">
        <v>1</v>
      </c>
      <c r="P68" s="5">
        <v>129000000</v>
      </c>
      <c r="Q68" s="7" t="s">
        <v>218</v>
      </c>
      <c r="R68" s="5" t="s">
        <v>37</v>
      </c>
      <c r="S68" s="5">
        <v>3</v>
      </c>
      <c r="T68" s="5">
        <v>2</v>
      </c>
      <c r="U68" s="5">
        <v>3.3</v>
      </c>
      <c r="V68" s="5" t="s">
        <v>38</v>
      </c>
      <c r="W68" s="5">
        <v>1</v>
      </c>
      <c r="X68" s="5">
        <v>1</v>
      </c>
      <c r="Y68" s="5" t="s">
        <v>219</v>
      </c>
      <c r="AA68" s="9">
        <v>46217</v>
      </c>
    </row>
    <row r="69" spans="1:27" ht="328.5" customHeight="1" x14ac:dyDescent="0.2">
      <c r="A69" s="5">
        <v>68</v>
      </c>
      <c r="B69" s="5">
        <v>325665635</v>
      </c>
      <c r="C69" s="5">
        <v>3</v>
      </c>
      <c r="D69" s="5" t="s">
        <v>26</v>
      </c>
      <c r="E69" s="5">
        <v>10</v>
      </c>
      <c r="F69" s="5" t="s">
        <v>99</v>
      </c>
      <c r="G69" s="5">
        <v>115</v>
      </c>
      <c r="H69" s="5">
        <f t="shared" si="2"/>
        <v>4.7449321283632502</v>
      </c>
      <c r="I69" s="5">
        <v>72</v>
      </c>
      <c r="J69" s="5">
        <v>5</v>
      </c>
      <c r="K69" s="5">
        <v>5</v>
      </c>
      <c r="L69" s="6">
        <f t="shared" si="3"/>
        <v>1</v>
      </c>
      <c r="M69" s="5" t="s">
        <v>28</v>
      </c>
      <c r="N69" s="5" t="s">
        <v>67</v>
      </c>
      <c r="O69" s="5">
        <v>1</v>
      </c>
      <c r="P69" s="5">
        <v>150000000</v>
      </c>
      <c r="Q69" s="7" t="s">
        <v>220</v>
      </c>
      <c r="R69" s="5" t="s">
        <v>37</v>
      </c>
      <c r="S69" s="5">
        <v>3</v>
      </c>
      <c r="T69" s="5">
        <v>2</v>
      </c>
      <c r="U69" s="5">
        <v>3.4</v>
      </c>
      <c r="V69" s="5" t="s">
        <v>38</v>
      </c>
      <c r="W69" s="5">
        <v>1</v>
      </c>
      <c r="X69" s="5">
        <v>1</v>
      </c>
      <c r="Y69" s="5" t="s">
        <v>221</v>
      </c>
      <c r="AA69" s="9">
        <v>46217</v>
      </c>
    </row>
    <row r="70" spans="1:27" ht="409.5" customHeight="1" x14ac:dyDescent="0.2">
      <c r="A70" s="5">
        <v>69</v>
      </c>
      <c r="B70" s="5">
        <v>329360928</v>
      </c>
      <c r="C70" s="5">
        <v>3</v>
      </c>
      <c r="D70" s="5" t="s">
        <v>54</v>
      </c>
      <c r="E70" s="5">
        <v>6</v>
      </c>
      <c r="F70" s="5" t="s">
        <v>82</v>
      </c>
      <c r="G70" s="5">
        <v>120</v>
      </c>
      <c r="H70" s="5">
        <f t="shared" si="2"/>
        <v>4.7874917427820458</v>
      </c>
      <c r="I70" s="5">
        <v>65</v>
      </c>
      <c r="J70" s="5">
        <v>4</v>
      </c>
      <c r="K70" s="5">
        <v>9</v>
      </c>
      <c r="L70" s="6">
        <f t="shared" si="3"/>
        <v>0.44444444444444442</v>
      </c>
      <c r="M70" s="5" t="s">
        <v>44</v>
      </c>
      <c r="N70" s="5" t="s">
        <v>35</v>
      </c>
      <c r="O70" s="5">
        <v>2</v>
      </c>
      <c r="P70" s="5">
        <v>140000000</v>
      </c>
      <c r="Q70" s="7" t="s">
        <v>222</v>
      </c>
      <c r="R70" s="5" t="s">
        <v>37</v>
      </c>
      <c r="S70" s="5">
        <v>3</v>
      </c>
      <c r="T70" s="5">
        <v>2</v>
      </c>
      <c r="U70" s="5">
        <v>3.1</v>
      </c>
      <c r="V70" s="5" t="s">
        <v>38</v>
      </c>
      <c r="W70" s="5">
        <v>1</v>
      </c>
      <c r="X70" s="5">
        <v>1</v>
      </c>
      <c r="Y70" s="5" t="s">
        <v>223</v>
      </c>
      <c r="AA70" s="9">
        <v>46217</v>
      </c>
    </row>
    <row r="71" spans="1:27" ht="270.75" customHeight="1" x14ac:dyDescent="0.2">
      <c r="A71" s="5">
        <v>70</v>
      </c>
      <c r="B71" s="5">
        <v>331453986</v>
      </c>
      <c r="C71" s="5">
        <v>2</v>
      </c>
      <c r="D71" s="5" t="s">
        <v>54</v>
      </c>
      <c r="E71" s="5">
        <v>13</v>
      </c>
      <c r="F71" s="5" t="s">
        <v>224</v>
      </c>
      <c r="G71" s="5">
        <v>76</v>
      </c>
      <c r="H71" s="5">
        <f t="shared" si="2"/>
        <v>4.3307333402863311</v>
      </c>
      <c r="I71" s="5">
        <v>40</v>
      </c>
      <c r="J71" s="5">
        <v>4</v>
      </c>
      <c r="K71" s="5">
        <v>6</v>
      </c>
      <c r="L71" s="6">
        <f t="shared" si="3"/>
        <v>0.66666666666666663</v>
      </c>
      <c r="M71" s="5" t="s">
        <v>28</v>
      </c>
      <c r="N71" s="5" t="s">
        <v>61</v>
      </c>
      <c r="O71" s="5">
        <v>1</v>
      </c>
      <c r="P71" s="5">
        <v>88500000</v>
      </c>
      <c r="Q71" s="7" t="s">
        <v>225</v>
      </c>
      <c r="R71" s="5" t="s">
        <v>37</v>
      </c>
      <c r="S71" s="5">
        <v>3</v>
      </c>
      <c r="T71" s="5">
        <v>2</v>
      </c>
      <c r="U71" s="5">
        <v>3</v>
      </c>
      <c r="V71" s="5" t="s">
        <v>38</v>
      </c>
      <c r="W71" s="5">
        <v>1</v>
      </c>
      <c r="X71" s="5">
        <v>1</v>
      </c>
      <c r="Y71" s="5" t="s">
        <v>226</v>
      </c>
      <c r="AA71" s="9">
        <v>46217</v>
      </c>
    </row>
    <row r="72" spans="1:27" ht="399" customHeight="1" x14ac:dyDescent="0.2">
      <c r="A72" s="5">
        <v>71</v>
      </c>
      <c r="B72" s="5">
        <v>331386857</v>
      </c>
      <c r="C72" s="5">
        <v>2</v>
      </c>
      <c r="D72" s="5" t="s">
        <v>26</v>
      </c>
      <c r="E72" s="5">
        <v>6</v>
      </c>
      <c r="F72" s="5" t="s">
        <v>227</v>
      </c>
      <c r="G72" s="5">
        <v>38.1</v>
      </c>
      <c r="H72" s="5">
        <f t="shared" si="2"/>
        <v>3.6402142821326553</v>
      </c>
      <c r="I72" s="5">
        <v>25.7</v>
      </c>
      <c r="J72" s="5">
        <v>5</v>
      </c>
      <c r="K72" s="5">
        <v>8</v>
      </c>
      <c r="L72" s="6">
        <f t="shared" si="3"/>
        <v>0.625</v>
      </c>
      <c r="M72" s="5" t="s">
        <v>28</v>
      </c>
      <c r="N72" s="5" t="s">
        <v>61</v>
      </c>
      <c r="O72" s="5">
        <v>1</v>
      </c>
      <c r="P72" s="5">
        <v>36900000</v>
      </c>
      <c r="Q72" s="7" t="s">
        <v>228</v>
      </c>
      <c r="R72" s="5" t="s">
        <v>107</v>
      </c>
      <c r="S72" s="5">
        <v>1</v>
      </c>
      <c r="T72" s="5">
        <v>1</v>
      </c>
      <c r="U72" s="5">
        <v>3.2</v>
      </c>
      <c r="V72" s="5" t="s">
        <v>38</v>
      </c>
      <c r="W72" s="5">
        <v>1</v>
      </c>
      <c r="X72" s="5">
        <v>1</v>
      </c>
      <c r="Y72" s="5" t="s">
        <v>229</v>
      </c>
      <c r="AA72" s="9">
        <v>46217</v>
      </c>
    </row>
    <row r="73" spans="1:27" ht="409.5" customHeight="1" x14ac:dyDescent="0.2">
      <c r="A73" s="5">
        <v>72</v>
      </c>
      <c r="B73" s="5">
        <v>329866810</v>
      </c>
      <c r="C73" s="5">
        <v>3</v>
      </c>
      <c r="D73" s="5" t="s">
        <v>54</v>
      </c>
      <c r="E73" s="5">
        <v>7</v>
      </c>
      <c r="F73" s="5" t="s">
        <v>230</v>
      </c>
      <c r="G73" s="5">
        <v>81.099999999999994</v>
      </c>
      <c r="H73" s="5">
        <f t="shared" si="2"/>
        <v>4.3956829611213672</v>
      </c>
      <c r="I73" s="5">
        <v>27</v>
      </c>
      <c r="J73" s="5">
        <v>2</v>
      </c>
      <c r="K73" s="5">
        <v>6</v>
      </c>
      <c r="L73" s="6">
        <f t="shared" si="3"/>
        <v>0.33333333333333331</v>
      </c>
      <c r="M73" s="5" t="s">
        <v>28</v>
      </c>
      <c r="N73" s="5" t="s">
        <v>61</v>
      </c>
      <c r="O73" s="5">
        <v>1</v>
      </c>
      <c r="P73" s="5">
        <v>70000000</v>
      </c>
      <c r="Q73" s="5" t="s">
        <v>231</v>
      </c>
      <c r="R73" s="5" t="s">
        <v>37</v>
      </c>
      <c r="S73" s="5">
        <v>3</v>
      </c>
      <c r="T73" s="5">
        <v>2</v>
      </c>
      <c r="U73" s="5">
        <v>3.4</v>
      </c>
      <c r="V73" s="5" t="s">
        <v>38</v>
      </c>
      <c r="W73" s="5">
        <v>1</v>
      </c>
      <c r="X73" s="5">
        <v>1</v>
      </c>
      <c r="Y73" s="5" t="s">
        <v>232</v>
      </c>
      <c r="AA73" s="9">
        <v>46217</v>
      </c>
    </row>
    <row r="74" spans="1:27" ht="399" customHeight="1" x14ac:dyDescent="0.2">
      <c r="A74" s="5">
        <v>73</v>
      </c>
      <c r="B74" s="5">
        <v>302552929</v>
      </c>
      <c r="C74" s="5">
        <v>3</v>
      </c>
      <c r="D74" s="5" t="s">
        <v>64</v>
      </c>
      <c r="E74" s="5">
        <v>10</v>
      </c>
      <c r="F74" s="5" t="s">
        <v>233</v>
      </c>
      <c r="G74" s="5">
        <v>90</v>
      </c>
      <c r="H74" s="5">
        <f t="shared" si="2"/>
        <v>4.499809670330265</v>
      </c>
      <c r="I74" s="5">
        <v>55</v>
      </c>
      <c r="J74" s="5">
        <v>2</v>
      </c>
      <c r="K74" s="5">
        <v>7</v>
      </c>
      <c r="L74" s="6">
        <f t="shared" si="3"/>
        <v>0.2857142857142857</v>
      </c>
      <c r="M74" s="5" t="s">
        <v>66</v>
      </c>
      <c r="N74" s="5" t="s">
        <v>67</v>
      </c>
      <c r="O74" s="5">
        <v>1</v>
      </c>
      <c r="P74" s="5">
        <v>80000000</v>
      </c>
      <c r="Q74" s="7" t="s">
        <v>234</v>
      </c>
      <c r="R74" s="5" t="s">
        <v>37</v>
      </c>
      <c r="S74" s="5">
        <v>3</v>
      </c>
      <c r="T74" s="5">
        <v>2</v>
      </c>
      <c r="U74" s="5"/>
      <c r="V74" s="5"/>
      <c r="W74" s="5"/>
      <c r="X74" s="5">
        <v>1</v>
      </c>
      <c r="Y74" s="5" t="s">
        <v>235</v>
      </c>
      <c r="AA74" s="9">
        <v>46217</v>
      </c>
    </row>
    <row r="75" spans="1:27" ht="384.75" customHeight="1" x14ac:dyDescent="0.2">
      <c r="A75" s="5">
        <v>74</v>
      </c>
      <c r="B75" s="5">
        <v>328431118</v>
      </c>
      <c r="C75" s="5">
        <v>4</v>
      </c>
      <c r="D75" s="5" t="s">
        <v>54</v>
      </c>
      <c r="E75" s="5">
        <v>11</v>
      </c>
      <c r="F75" s="5" t="s">
        <v>154</v>
      </c>
      <c r="G75" s="5">
        <v>182.2</v>
      </c>
      <c r="H75" s="5">
        <f t="shared" si="2"/>
        <v>5.2051049848258577</v>
      </c>
      <c r="I75" s="5">
        <v>125</v>
      </c>
      <c r="J75" s="5">
        <v>5</v>
      </c>
      <c r="K75" s="5">
        <v>5</v>
      </c>
      <c r="L75" s="6">
        <f t="shared" si="3"/>
        <v>1</v>
      </c>
      <c r="M75" s="5" t="s">
        <v>28</v>
      </c>
      <c r="N75" s="5" t="s">
        <v>67</v>
      </c>
      <c r="O75" s="5">
        <v>1</v>
      </c>
      <c r="P75" s="5">
        <v>150000000</v>
      </c>
      <c r="Q75" s="7" t="s">
        <v>236</v>
      </c>
      <c r="R75" s="5" t="s">
        <v>30</v>
      </c>
      <c r="S75" s="5">
        <v>2</v>
      </c>
      <c r="T75" s="5">
        <v>3</v>
      </c>
      <c r="U75" s="5"/>
      <c r="V75" s="5"/>
      <c r="W75" s="5"/>
      <c r="X75" s="5">
        <v>1</v>
      </c>
      <c r="Y75" s="5" t="s">
        <v>237</v>
      </c>
      <c r="AA75" s="9">
        <v>46217</v>
      </c>
    </row>
    <row r="76" spans="1:27" ht="357" customHeight="1" x14ac:dyDescent="0.2">
      <c r="A76" s="5">
        <v>75</v>
      </c>
      <c r="B76" s="5">
        <v>329176697</v>
      </c>
      <c r="C76" s="5">
        <v>1</v>
      </c>
      <c r="D76" s="5" t="s">
        <v>54</v>
      </c>
      <c r="E76" s="5">
        <v>10</v>
      </c>
      <c r="F76" s="5" t="s">
        <v>238</v>
      </c>
      <c r="G76" s="5">
        <v>45.6</v>
      </c>
      <c r="H76" s="5">
        <f t="shared" si="2"/>
        <v>3.8199077165203406</v>
      </c>
      <c r="I76" s="5">
        <v>17.5</v>
      </c>
      <c r="J76" s="5">
        <v>2</v>
      </c>
      <c r="K76" s="5">
        <v>5</v>
      </c>
      <c r="L76" s="6">
        <f t="shared" si="3"/>
        <v>0.4</v>
      </c>
      <c r="M76" s="5" t="s">
        <v>28</v>
      </c>
      <c r="N76" s="5" t="s">
        <v>61</v>
      </c>
      <c r="O76" s="5">
        <v>1</v>
      </c>
      <c r="P76" s="5">
        <v>51000000</v>
      </c>
      <c r="Q76" s="7" t="s">
        <v>239</v>
      </c>
      <c r="R76" s="5" t="s">
        <v>107</v>
      </c>
      <c r="S76" s="5">
        <v>1</v>
      </c>
      <c r="T76" s="5">
        <v>1</v>
      </c>
      <c r="U76" s="5">
        <v>3.2</v>
      </c>
      <c r="V76" s="5" t="s">
        <v>38</v>
      </c>
      <c r="W76" s="5">
        <v>1</v>
      </c>
      <c r="X76" s="5">
        <v>1</v>
      </c>
      <c r="Y76" s="5" t="s">
        <v>240</v>
      </c>
      <c r="AA76" s="9">
        <v>46217</v>
      </c>
    </row>
    <row r="77" spans="1:27" ht="384.75" customHeight="1" x14ac:dyDescent="0.2">
      <c r="A77" s="5">
        <v>76</v>
      </c>
      <c r="B77" s="5">
        <v>330583368</v>
      </c>
      <c r="C77" s="5">
        <v>1</v>
      </c>
      <c r="D77" s="5" t="s">
        <v>33</v>
      </c>
      <c r="E77" s="5">
        <v>10</v>
      </c>
      <c r="F77" s="5" t="s">
        <v>241</v>
      </c>
      <c r="G77" s="5">
        <v>35</v>
      </c>
      <c r="H77" s="5">
        <f t="shared" si="2"/>
        <v>3.5553480614894135</v>
      </c>
      <c r="I77" s="5">
        <v>18</v>
      </c>
      <c r="J77" s="5">
        <v>7</v>
      </c>
      <c r="K77" s="5">
        <v>9</v>
      </c>
      <c r="L77" s="6">
        <f t="shared" si="3"/>
        <v>0.77777777777777779</v>
      </c>
      <c r="M77" s="5" t="s">
        <v>28</v>
      </c>
      <c r="N77" s="5" t="s">
        <v>61</v>
      </c>
      <c r="O77" s="5">
        <v>1</v>
      </c>
      <c r="P77" s="5">
        <v>33000000</v>
      </c>
      <c r="Q77" s="7" t="s">
        <v>242</v>
      </c>
      <c r="R77" s="5" t="s">
        <v>30</v>
      </c>
      <c r="S77" s="5">
        <v>2</v>
      </c>
      <c r="T77" s="5">
        <v>1</v>
      </c>
      <c r="U77" s="5"/>
      <c r="V77" s="5"/>
      <c r="W77" s="5"/>
      <c r="X77" s="5">
        <v>1</v>
      </c>
      <c r="Y77" s="5" t="s">
        <v>243</v>
      </c>
      <c r="AA77" s="9">
        <v>46217</v>
      </c>
    </row>
    <row r="78" spans="1:27" ht="165.75" customHeight="1" x14ac:dyDescent="0.2">
      <c r="A78" s="5">
        <v>77</v>
      </c>
      <c r="B78" s="5">
        <v>314140879</v>
      </c>
      <c r="C78" s="5">
        <v>4</v>
      </c>
      <c r="D78" s="5" t="s">
        <v>64</v>
      </c>
      <c r="E78" s="5">
        <v>8</v>
      </c>
      <c r="F78" s="5" t="s">
        <v>79</v>
      </c>
      <c r="G78" s="5">
        <v>189</v>
      </c>
      <c r="H78" s="5">
        <f t="shared" si="2"/>
        <v>5.2417470150596426</v>
      </c>
      <c r="I78" s="5"/>
      <c r="J78" s="5">
        <v>4</v>
      </c>
      <c r="K78" s="5">
        <v>6</v>
      </c>
      <c r="L78" s="6">
        <f t="shared" si="3"/>
        <v>0.66666666666666663</v>
      </c>
      <c r="M78" s="5"/>
      <c r="N78" s="5"/>
      <c r="O78" s="5">
        <v>0</v>
      </c>
      <c r="P78" s="5">
        <v>299000000</v>
      </c>
      <c r="Q78" s="7" t="s">
        <v>244</v>
      </c>
      <c r="R78" s="5" t="s">
        <v>37</v>
      </c>
      <c r="S78" s="5">
        <v>3</v>
      </c>
      <c r="T78" s="5"/>
      <c r="U78" s="5"/>
      <c r="V78" s="5"/>
      <c r="W78" s="5"/>
      <c r="X78" s="5">
        <v>1</v>
      </c>
      <c r="Y78" s="5" t="s">
        <v>245</v>
      </c>
      <c r="AA78" s="9">
        <v>46217</v>
      </c>
    </row>
    <row r="79" spans="1:27" ht="315" customHeight="1" x14ac:dyDescent="0.2">
      <c r="A79" s="5">
        <v>78</v>
      </c>
      <c r="B79" s="5">
        <v>327480368</v>
      </c>
      <c r="C79" s="5">
        <v>3</v>
      </c>
      <c r="D79" s="5" t="s">
        <v>26</v>
      </c>
      <c r="E79" s="5">
        <v>10</v>
      </c>
      <c r="F79" s="5" t="s">
        <v>246</v>
      </c>
      <c r="G79" s="5">
        <v>95</v>
      </c>
      <c r="H79" s="5">
        <f t="shared" si="2"/>
        <v>4.5538768916005408</v>
      </c>
      <c r="I79" s="5">
        <v>65</v>
      </c>
      <c r="J79" s="5">
        <v>2</v>
      </c>
      <c r="K79" s="5">
        <v>4</v>
      </c>
      <c r="L79" s="6">
        <f t="shared" si="3"/>
        <v>0.5</v>
      </c>
      <c r="M79" s="5" t="s">
        <v>28</v>
      </c>
      <c r="N79" s="5" t="s">
        <v>61</v>
      </c>
      <c r="O79" s="5">
        <v>1</v>
      </c>
      <c r="P79" s="5">
        <v>96000000</v>
      </c>
      <c r="Q79" s="7" t="s">
        <v>247</v>
      </c>
      <c r="R79" s="5"/>
      <c r="S79" s="5"/>
      <c r="T79" s="5">
        <v>2</v>
      </c>
      <c r="U79" s="5">
        <v>3.2</v>
      </c>
      <c r="V79" s="5" t="s">
        <v>38</v>
      </c>
      <c r="W79" s="5">
        <v>1</v>
      </c>
      <c r="X79" s="5">
        <v>1</v>
      </c>
      <c r="Y79" s="5" t="s">
        <v>248</v>
      </c>
      <c r="AA79" s="9">
        <v>46217</v>
      </c>
    </row>
    <row r="80" spans="1:27" ht="399" customHeight="1" x14ac:dyDescent="0.2">
      <c r="A80" s="5">
        <v>79</v>
      </c>
      <c r="B80" s="5">
        <v>331201172</v>
      </c>
      <c r="C80" s="5">
        <v>4</v>
      </c>
      <c r="D80" s="5" t="s">
        <v>33</v>
      </c>
      <c r="E80" s="5">
        <v>14</v>
      </c>
      <c r="F80" s="5" t="s">
        <v>154</v>
      </c>
      <c r="G80" s="5">
        <v>120.7</v>
      </c>
      <c r="H80" s="5">
        <f t="shared" si="2"/>
        <v>4.7933081281034857</v>
      </c>
      <c r="I80" s="5">
        <v>84.9</v>
      </c>
      <c r="J80" s="5">
        <v>5</v>
      </c>
      <c r="K80" s="5">
        <v>5</v>
      </c>
      <c r="L80" s="6">
        <f t="shared" si="3"/>
        <v>1</v>
      </c>
      <c r="M80" s="5" t="s">
        <v>28</v>
      </c>
      <c r="N80" s="5" t="s">
        <v>61</v>
      </c>
      <c r="O80" s="5">
        <v>1</v>
      </c>
      <c r="P80" s="5">
        <v>98000000</v>
      </c>
      <c r="Q80" s="7" t="s">
        <v>249</v>
      </c>
      <c r="R80" s="5" t="s">
        <v>37</v>
      </c>
      <c r="S80" s="5">
        <v>3</v>
      </c>
      <c r="T80" s="5">
        <v>2</v>
      </c>
      <c r="U80" s="5">
        <v>3.1</v>
      </c>
      <c r="V80" s="5" t="s">
        <v>38</v>
      </c>
      <c r="W80" s="5">
        <v>1</v>
      </c>
      <c r="X80" s="5">
        <v>1</v>
      </c>
      <c r="Y80" s="5" t="s">
        <v>250</v>
      </c>
      <c r="AA80" s="9">
        <v>46217</v>
      </c>
    </row>
    <row r="81" spans="1:27" ht="15" customHeight="1" x14ac:dyDescent="0.2">
      <c r="A81" s="5">
        <v>80</v>
      </c>
      <c r="B81" s="5">
        <v>331819352</v>
      </c>
      <c r="C81" s="5">
        <v>2</v>
      </c>
      <c r="D81" s="5" t="s">
        <v>54</v>
      </c>
      <c r="E81" s="5">
        <v>8</v>
      </c>
      <c r="F81" s="5" t="s">
        <v>87</v>
      </c>
      <c r="G81" s="5">
        <v>65</v>
      </c>
      <c r="H81" s="5">
        <f t="shared" si="2"/>
        <v>4.1743872698956368</v>
      </c>
      <c r="I81" s="5">
        <v>43</v>
      </c>
      <c r="J81" s="5">
        <v>3</v>
      </c>
      <c r="K81" s="5">
        <v>9</v>
      </c>
      <c r="L81" s="6">
        <f t="shared" si="3"/>
        <v>0.33333333333333331</v>
      </c>
      <c r="M81" s="5"/>
      <c r="N81" s="5"/>
      <c r="O81" s="5">
        <v>0</v>
      </c>
      <c r="P81" s="5">
        <v>83617700</v>
      </c>
      <c r="Q81" s="7" t="s">
        <v>251</v>
      </c>
      <c r="R81" s="5" t="s">
        <v>37</v>
      </c>
      <c r="S81" s="5">
        <v>3</v>
      </c>
      <c r="T81" s="5">
        <v>1</v>
      </c>
      <c r="U81" s="5"/>
      <c r="V81" s="5"/>
      <c r="W81" s="5"/>
      <c r="X81" s="5">
        <v>1</v>
      </c>
      <c r="Y81" s="5" t="s">
        <v>252</v>
      </c>
      <c r="AA81" s="9">
        <v>46217</v>
      </c>
    </row>
    <row r="82" spans="1:27" ht="15" customHeight="1" x14ac:dyDescent="0.2">
      <c r="A82" s="5">
        <v>81</v>
      </c>
      <c r="B82" s="5">
        <v>331560860</v>
      </c>
      <c r="C82" s="5">
        <v>3</v>
      </c>
      <c r="D82" s="5" t="s">
        <v>54</v>
      </c>
      <c r="E82" s="5">
        <v>6</v>
      </c>
      <c r="F82" s="5" t="s">
        <v>176</v>
      </c>
      <c r="G82" s="5">
        <v>120.2</v>
      </c>
      <c r="H82" s="5">
        <f t="shared" si="2"/>
        <v>4.7891570221011071</v>
      </c>
      <c r="I82" s="5"/>
      <c r="J82" s="5">
        <v>3</v>
      </c>
      <c r="K82" s="5">
        <v>4</v>
      </c>
      <c r="L82" s="6">
        <f t="shared" si="3"/>
        <v>0.75</v>
      </c>
      <c r="M82" s="5" t="s">
        <v>28</v>
      </c>
      <c r="N82" s="5" t="s">
        <v>61</v>
      </c>
      <c r="O82" s="5">
        <v>1</v>
      </c>
      <c r="P82" s="5">
        <v>120000000</v>
      </c>
      <c r="Q82" s="7" t="s">
        <v>253</v>
      </c>
      <c r="R82" s="5" t="s">
        <v>37</v>
      </c>
      <c r="S82" s="5">
        <v>3</v>
      </c>
      <c r="T82" s="5">
        <v>3</v>
      </c>
      <c r="U82" s="5">
        <v>3.5</v>
      </c>
      <c r="V82" s="5" t="s">
        <v>38</v>
      </c>
      <c r="W82" s="5">
        <v>1</v>
      </c>
      <c r="X82" s="5">
        <v>1</v>
      </c>
      <c r="Y82" s="5" t="s">
        <v>254</v>
      </c>
      <c r="AA82" s="9">
        <v>46217</v>
      </c>
    </row>
    <row r="83" spans="1:27" ht="255.75" customHeight="1" x14ac:dyDescent="0.2">
      <c r="A83" s="5">
        <v>82</v>
      </c>
      <c r="B83" s="5">
        <v>304830583</v>
      </c>
      <c r="C83" s="5">
        <v>2</v>
      </c>
      <c r="D83" s="5" t="s">
        <v>54</v>
      </c>
      <c r="E83" s="5">
        <v>11</v>
      </c>
      <c r="F83" s="5" t="s">
        <v>255</v>
      </c>
      <c r="G83" s="5">
        <v>116.8</v>
      </c>
      <c r="H83" s="5">
        <f t="shared" si="2"/>
        <v>4.7604630703941266</v>
      </c>
      <c r="I83" s="5">
        <v>93</v>
      </c>
      <c r="J83" s="5">
        <v>12</v>
      </c>
      <c r="K83" s="5">
        <v>12</v>
      </c>
      <c r="L83" s="6">
        <f t="shared" si="3"/>
        <v>1</v>
      </c>
      <c r="M83" s="5" t="s">
        <v>28</v>
      </c>
      <c r="N83" s="5"/>
      <c r="O83" s="5">
        <v>0</v>
      </c>
      <c r="P83" s="5">
        <v>203191011</v>
      </c>
      <c r="Q83" s="7" t="s">
        <v>256</v>
      </c>
      <c r="R83" s="5" t="s">
        <v>30</v>
      </c>
      <c r="S83" s="5">
        <v>2</v>
      </c>
      <c r="T83" s="5">
        <v>2</v>
      </c>
      <c r="U83" s="5"/>
      <c r="V83" s="5"/>
      <c r="W83" s="5"/>
      <c r="X83" s="5">
        <v>1</v>
      </c>
      <c r="Y83" s="5" t="s">
        <v>257</v>
      </c>
      <c r="AA83" s="9">
        <v>46217</v>
      </c>
    </row>
    <row r="84" spans="1:27" ht="285.75" customHeight="1" x14ac:dyDescent="0.2">
      <c r="A84" s="5">
        <v>83</v>
      </c>
      <c r="B84" s="5">
        <v>331675246</v>
      </c>
      <c r="C84" s="5">
        <v>4</v>
      </c>
      <c r="D84" s="5" t="s">
        <v>54</v>
      </c>
      <c r="E84" s="5">
        <v>3</v>
      </c>
      <c r="F84" s="5" t="s">
        <v>73</v>
      </c>
      <c r="G84" s="5">
        <v>255</v>
      </c>
      <c r="H84" s="5">
        <f t="shared" si="2"/>
        <v>5.5412635451584258</v>
      </c>
      <c r="I84" s="5"/>
      <c r="J84" s="5">
        <v>4</v>
      </c>
      <c r="K84" s="5">
        <v>4</v>
      </c>
      <c r="L84" s="6">
        <f t="shared" si="3"/>
        <v>1</v>
      </c>
      <c r="M84" s="5" t="s">
        <v>28</v>
      </c>
      <c r="N84" s="5" t="s">
        <v>67</v>
      </c>
      <c r="O84" s="5">
        <v>1</v>
      </c>
      <c r="P84" s="5">
        <v>160000000</v>
      </c>
      <c r="Q84" s="7" t="s">
        <v>258</v>
      </c>
      <c r="R84" s="5" t="s">
        <v>37</v>
      </c>
      <c r="S84" s="5">
        <v>3</v>
      </c>
      <c r="T84" s="5">
        <v>4</v>
      </c>
      <c r="U84" s="5">
        <v>4.5</v>
      </c>
      <c r="V84" s="5" t="s">
        <v>31</v>
      </c>
      <c r="W84" s="5">
        <v>2</v>
      </c>
      <c r="X84" s="5">
        <v>1</v>
      </c>
      <c r="Y84" s="5" t="s">
        <v>259</v>
      </c>
      <c r="AA84" s="9">
        <v>46217</v>
      </c>
    </row>
    <row r="85" spans="1:27" ht="409.5" customHeight="1" x14ac:dyDescent="0.2">
      <c r="A85" s="5">
        <v>84</v>
      </c>
      <c r="B85" s="5">
        <v>322208713</v>
      </c>
      <c r="C85" s="5">
        <v>3</v>
      </c>
      <c r="D85" s="5" t="s">
        <v>33</v>
      </c>
      <c r="E85" s="5">
        <v>11</v>
      </c>
      <c r="F85" s="5" t="s">
        <v>93</v>
      </c>
      <c r="G85" s="5">
        <v>60.6</v>
      </c>
      <c r="H85" s="5">
        <f t="shared" si="2"/>
        <v>4.1042948930752692</v>
      </c>
      <c r="I85" s="5">
        <v>46</v>
      </c>
      <c r="J85" s="5">
        <v>7</v>
      </c>
      <c r="K85" s="5">
        <v>9</v>
      </c>
      <c r="L85" s="6">
        <f t="shared" si="3"/>
        <v>0.77777777777777779</v>
      </c>
      <c r="M85" s="5" t="s">
        <v>28</v>
      </c>
      <c r="N85" s="5" t="s">
        <v>61</v>
      </c>
      <c r="O85" s="5">
        <v>1</v>
      </c>
      <c r="P85" s="5">
        <v>50500000</v>
      </c>
      <c r="Q85" s="7" t="s">
        <v>260</v>
      </c>
      <c r="R85" s="5" t="s">
        <v>107</v>
      </c>
      <c r="S85" s="5">
        <v>1</v>
      </c>
      <c r="T85" s="5">
        <v>1</v>
      </c>
      <c r="U85" s="5">
        <v>3</v>
      </c>
      <c r="V85" s="5" t="s">
        <v>38</v>
      </c>
      <c r="W85" s="5">
        <v>1</v>
      </c>
      <c r="X85" s="5">
        <v>1</v>
      </c>
      <c r="Y85" s="5" t="s">
        <v>261</v>
      </c>
      <c r="AA85" s="9">
        <v>46217</v>
      </c>
    </row>
    <row r="86" spans="1:27" ht="409.5" customHeight="1" x14ac:dyDescent="0.2">
      <c r="A86" s="5">
        <v>85</v>
      </c>
      <c r="B86" s="5">
        <v>327479342</v>
      </c>
      <c r="C86" s="5">
        <v>2</v>
      </c>
      <c r="D86" s="5" t="s">
        <v>54</v>
      </c>
      <c r="E86" s="5">
        <v>8</v>
      </c>
      <c r="F86" s="5" t="s">
        <v>87</v>
      </c>
      <c r="G86" s="5">
        <v>65</v>
      </c>
      <c r="H86" s="5">
        <f t="shared" si="2"/>
        <v>4.1743872698956368</v>
      </c>
      <c r="I86" s="5">
        <v>45</v>
      </c>
      <c r="J86" s="5">
        <v>3</v>
      </c>
      <c r="K86" s="5">
        <v>9</v>
      </c>
      <c r="L86" s="6">
        <f t="shared" si="3"/>
        <v>0.33333333333333331</v>
      </c>
      <c r="M86" s="5" t="s">
        <v>28</v>
      </c>
      <c r="N86" s="5" t="s">
        <v>67</v>
      </c>
      <c r="O86" s="5">
        <v>1</v>
      </c>
      <c r="P86" s="5">
        <v>83617700</v>
      </c>
      <c r="Q86" s="7" t="s">
        <v>262</v>
      </c>
      <c r="R86" s="5" t="s">
        <v>30</v>
      </c>
      <c r="S86" s="5">
        <v>2</v>
      </c>
      <c r="T86" s="5">
        <v>1</v>
      </c>
      <c r="U86" s="5">
        <v>2.8</v>
      </c>
      <c r="V86" s="5" t="s">
        <v>52</v>
      </c>
      <c r="W86" s="5">
        <v>0</v>
      </c>
      <c r="X86" s="5">
        <v>1</v>
      </c>
      <c r="Y86" s="5" t="s">
        <v>263</v>
      </c>
      <c r="AA86" s="9">
        <v>46217</v>
      </c>
    </row>
    <row r="87" spans="1:27" ht="15" customHeight="1" x14ac:dyDescent="0.2">
      <c r="A87" s="5">
        <v>86</v>
      </c>
      <c r="B87" s="5">
        <v>331284993</v>
      </c>
      <c r="C87" s="5">
        <v>6</v>
      </c>
      <c r="D87" s="5" t="s">
        <v>54</v>
      </c>
      <c r="E87" s="5">
        <v>9</v>
      </c>
      <c r="F87" s="5" t="s">
        <v>264</v>
      </c>
      <c r="G87" s="5">
        <v>217.6</v>
      </c>
      <c r="H87" s="5">
        <f t="shared" si="2"/>
        <v>5.3826585149817872</v>
      </c>
      <c r="I87" s="5">
        <v>150</v>
      </c>
      <c r="J87" s="5">
        <v>2</v>
      </c>
      <c r="K87" s="5">
        <v>6</v>
      </c>
      <c r="L87" s="6">
        <f t="shared" si="3"/>
        <v>0.33333333333333331</v>
      </c>
      <c r="M87" s="5" t="s">
        <v>28</v>
      </c>
      <c r="N87" s="5" t="s">
        <v>61</v>
      </c>
      <c r="O87" s="5">
        <v>1</v>
      </c>
      <c r="P87" s="5">
        <v>459897350</v>
      </c>
      <c r="Q87" s="7" t="s">
        <v>265</v>
      </c>
      <c r="R87" s="5" t="s">
        <v>37</v>
      </c>
      <c r="S87" s="5">
        <v>3</v>
      </c>
      <c r="T87" s="5">
        <v>3</v>
      </c>
      <c r="U87" s="5"/>
      <c r="V87" s="5"/>
      <c r="W87" s="5"/>
      <c r="X87" s="5">
        <v>1</v>
      </c>
      <c r="Y87" s="5" t="s">
        <v>266</v>
      </c>
      <c r="AA87" s="9">
        <v>46217</v>
      </c>
    </row>
    <row r="88" spans="1:27" ht="342.75" customHeight="1" x14ac:dyDescent="0.2">
      <c r="A88" s="5">
        <v>87</v>
      </c>
      <c r="B88" s="5">
        <v>329695775</v>
      </c>
      <c r="C88" s="5">
        <v>2</v>
      </c>
      <c r="D88" s="5" t="s">
        <v>33</v>
      </c>
      <c r="E88" s="5">
        <v>12</v>
      </c>
      <c r="F88" s="5" t="s">
        <v>267</v>
      </c>
      <c r="G88" s="5">
        <v>48</v>
      </c>
      <c r="H88" s="5">
        <f t="shared" si="2"/>
        <v>3.8712010109078911</v>
      </c>
      <c r="I88" s="5">
        <v>25</v>
      </c>
      <c r="J88" s="5">
        <v>2</v>
      </c>
      <c r="K88" s="5">
        <v>5</v>
      </c>
      <c r="L88" s="6">
        <f t="shared" si="3"/>
        <v>0.4</v>
      </c>
      <c r="M88" s="5" t="s">
        <v>28</v>
      </c>
      <c r="N88" s="5"/>
      <c r="O88" s="5">
        <v>0</v>
      </c>
      <c r="P88" s="5">
        <v>43700000</v>
      </c>
      <c r="Q88" s="7" t="s">
        <v>268</v>
      </c>
      <c r="R88" s="5" t="s">
        <v>37</v>
      </c>
      <c r="S88" s="5">
        <v>3</v>
      </c>
      <c r="T88" s="5">
        <v>1</v>
      </c>
      <c r="U88" s="5">
        <v>3.15</v>
      </c>
      <c r="V88" s="5" t="s">
        <v>38</v>
      </c>
      <c r="W88" s="5">
        <v>1</v>
      </c>
      <c r="X88" s="5">
        <v>1</v>
      </c>
      <c r="Y88" s="5" t="s">
        <v>269</v>
      </c>
      <c r="AA88" s="9">
        <v>46217</v>
      </c>
    </row>
    <row r="89" spans="1:27" ht="240.75" customHeight="1" x14ac:dyDescent="0.2">
      <c r="A89" s="5">
        <v>88</v>
      </c>
      <c r="B89" s="5">
        <v>326088716</v>
      </c>
      <c r="C89" s="5">
        <v>4</v>
      </c>
      <c r="D89" s="5" t="s">
        <v>54</v>
      </c>
      <c r="E89" s="5">
        <v>10</v>
      </c>
      <c r="F89" s="5" t="s">
        <v>201</v>
      </c>
      <c r="G89" s="5">
        <v>97.9</v>
      </c>
      <c r="H89" s="5">
        <f t="shared" si="2"/>
        <v>4.5839465495364644</v>
      </c>
      <c r="I89" s="5">
        <v>59.1</v>
      </c>
      <c r="J89" s="5">
        <v>3</v>
      </c>
      <c r="K89" s="5">
        <v>6</v>
      </c>
      <c r="L89" s="6">
        <f t="shared" si="3"/>
        <v>0.5</v>
      </c>
      <c r="M89" s="5" t="s">
        <v>28</v>
      </c>
      <c r="N89" s="5" t="s">
        <v>61</v>
      </c>
      <c r="O89" s="5">
        <v>1</v>
      </c>
      <c r="P89" s="5">
        <v>95000000</v>
      </c>
      <c r="Q89" s="7" t="s">
        <v>270</v>
      </c>
      <c r="R89" s="5" t="s">
        <v>107</v>
      </c>
      <c r="S89" s="5">
        <v>1</v>
      </c>
      <c r="T89" s="5">
        <v>1</v>
      </c>
      <c r="U89" s="5">
        <v>3.4</v>
      </c>
      <c r="V89" s="5" t="s">
        <v>38</v>
      </c>
      <c r="W89" s="5">
        <v>1</v>
      </c>
      <c r="X89" s="5">
        <v>1</v>
      </c>
      <c r="Y89" s="5" t="s">
        <v>271</v>
      </c>
      <c r="AA89" s="9">
        <v>46217</v>
      </c>
    </row>
    <row r="90" spans="1:27" ht="409.5" customHeight="1" x14ac:dyDescent="0.2">
      <c r="A90" s="5">
        <v>89</v>
      </c>
      <c r="B90" s="5">
        <v>329670424</v>
      </c>
      <c r="C90" s="5">
        <v>4</v>
      </c>
      <c r="D90" s="5" t="s">
        <v>54</v>
      </c>
      <c r="E90" s="5">
        <v>6</v>
      </c>
      <c r="F90" s="5" t="s">
        <v>272</v>
      </c>
      <c r="G90" s="5">
        <v>88.2</v>
      </c>
      <c r="H90" s="5">
        <f t="shared" si="2"/>
        <v>4.4796069630127455</v>
      </c>
      <c r="I90" s="5">
        <v>66</v>
      </c>
      <c r="J90" s="5">
        <v>6</v>
      </c>
      <c r="K90" s="5">
        <v>6</v>
      </c>
      <c r="L90" s="6">
        <f t="shared" si="3"/>
        <v>1</v>
      </c>
      <c r="M90" s="5" t="s">
        <v>28</v>
      </c>
      <c r="N90" s="5"/>
      <c r="O90" s="5">
        <v>0</v>
      </c>
      <c r="P90" s="5">
        <v>89000000</v>
      </c>
      <c r="Q90" s="7" t="s">
        <v>273</v>
      </c>
      <c r="R90" s="5" t="s">
        <v>37</v>
      </c>
      <c r="S90" s="5">
        <v>3</v>
      </c>
      <c r="T90" s="5">
        <v>2</v>
      </c>
      <c r="U90" s="5">
        <v>3</v>
      </c>
      <c r="V90" s="5" t="s">
        <v>38</v>
      </c>
      <c r="W90" s="5">
        <v>1</v>
      </c>
      <c r="X90" s="5">
        <v>1</v>
      </c>
      <c r="Y90" s="5" t="s">
        <v>274</v>
      </c>
      <c r="AA90" s="9">
        <v>46217</v>
      </c>
    </row>
    <row r="91" spans="1:27" ht="409.5" customHeight="1" x14ac:dyDescent="0.2">
      <c r="A91" s="5">
        <v>90</v>
      </c>
      <c r="B91" s="5">
        <v>331391918</v>
      </c>
      <c r="C91" s="5">
        <v>2</v>
      </c>
      <c r="D91" s="5" t="s">
        <v>64</v>
      </c>
      <c r="E91" s="5">
        <v>11</v>
      </c>
      <c r="F91" s="5" t="s">
        <v>275</v>
      </c>
      <c r="G91" s="5">
        <v>71.2</v>
      </c>
      <c r="H91" s="5">
        <f t="shared" si="2"/>
        <v>4.2654928184179299</v>
      </c>
      <c r="I91" s="5">
        <v>47.6</v>
      </c>
      <c r="J91" s="5">
        <v>4</v>
      </c>
      <c r="K91" s="5">
        <v>9</v>
      </c>
      <c r="L91" s="6">
        <f t="shared" si="3"/>
        <v>0.44444444444444442</v>
      </c>
      <c r="M91" s="5" t="s">
        <v>28</v>
      </c>
      <c r="N91" s="5" t="s">
        <v>61</v>
      </c>
      <c r="O91" s="5">
        <v>1</v>
      </c>
      <c r="P91" s="5">
        <v>64200000</v>
      </c>
      <c r="Q91" s="7" t="s">
        <v>276</v>
      </c>
      <c r="R91" s="5" t="s">
        <v>30</v>
      </c>
      <c r="S91" s="5">
        <v>2</v>
      </c>
      <c r="T91" s="5">
        <v>1</v>
      </c>
      <c r="U91" s="5">
        <v>3</v>
      </c>
      <c r="V91" s="5" t="s">
        <v>38</v>
      </c>
      <c r="W91" s="5">
        <v>1</v>
      </c>
      <c r="X91" s="5">
        <v>1</v>
      </c>
      <c r="Y91" s="5" t="s">
        <v>277</v>
      </c>
      <c r="AA91" s="9">
        <v>46217</v>
      </c>
    </row>
    <row r="92" spans="1:27" ht="328.5" customHeight="1" x14ac:dyDescent="0.2">
      <c r="A92" s="5">
        <v>91</v>
      </c>
      <c r="B92" s="5">
        <v>325174504</v>
      </c>
      <c r="C92" s="5">
        <v>3</v>
      </c>
      <c r="D92" s="5" t="s">
        <v>26</v>
      </c>
      <c r="E92" s="5">
        <v>10</v>
      </c>
      <c r="F92" s="5" t="s">
        <v>43</v>
      </c>
      <c r="G92" s="5">
        <v>137.1</v>
      </c>
      <c r="H92" s="5">
        <f t="shared" si="2"/>
        <v>4.9207105865682683</v>
      </c>
      <c r="I92" s="5"/>
      <c r="J92" s="5">
        <v>2</v>
      </c>
      <c r="K92" s="5">
        <v>5</v>
      </c>
      <c r="L92" s="6">
        <f t="shared" si="3"/>
        <v>0.4</v>
      </c>
      <c r="M92" s="5" t="s">
        <v>44</v>
      </c>
      <c r="N92" s="5" t="s">
        <v>35</v>
      </c>
      <c r="O92" s="5">
        <v>2</v>
      </c>
      <c r="P92" s="5">
        <v>520000000</v>
      </c>
      <c r="Q92" s="7" t="s">
        <v>278</v>
      </c>
      <c r="R92" s="5" t="s">
        <v>37</v>
      </c>
      <c r="S92" s="5">
        <v>3</v>
      </c>
      <c r="T92" s="5">
        <v>3</v>
      </c>
      <c r="U92" s="5">
        <v>3.5</v>
      </c>
      <c r="V92" s="5" t="s">
        <v>38</v>
      </c>
      <c r="W92" s="5">
        <v>1</v>
      </c>
      <c r="X92" s="5">
        <v>1</v>
      </c>
      <c r="Y92" s="5" t="s">
        <v>279</v>
      </c>
      <c r="AA92" s="9">
        <v>46217</v>
      </c>
    </row>
    <row r="93" spans="1:27" ht="285.75" customHeight="1" x14ac:dyDescent="0.2">
      <c r="A93" s="5">
        <v>92</v>
      </c>
      <c r="B93" s="5">
        <v>327280159</v>
      </c>
      <c r="C93" s="5">
        <v>3</v>
      </c>
      <c r="D93" s="5" t="s">
        <v>26</v>
      </c>
      <c r="E93" s="5">
        <v>8</v>
      </c>
      <c r="F93" s="5" t="s">
        <v>207</v>
      </c>
      <c r="G93" s="5">
        <v>69.8</v>
      </c>
      <c r="H93" s="5">
        <f t="shared" si="2"/>
        <v>4.2456340097683265</v>
      </c>
      <c r="I93" s="5"/>
      <c r="J93" s="5">
        <v>6</v>
      </c>
      <c r="K93" s="5">
        <v>6</v>
      </c>
      <c r="L93" s="6">
        <f t="shared" si="3"/>
        <v>1</v>
      </c>
      <c r="M93" s="5" t="s">
        <v>28</v>
      </c>
      <c r="N93" s="5" t="s">
        <v>61</v>
      </c>
      <c r="O93" s="5">
        <v>1</v>
      </c>
      <c r="P93" s="5">
        <v>65000000</v>
      </c>
      <c r="Q93" s="7" t="s">
        <v>280</v>
      </c>
      <c r="R93" s="5" t="s">
        <v>30</v>
      </c>
      <c r="S93" s="5">
        <v>2</v>
      </c>
      <c r="T93" s="5">
        <v>1</v>
      </c>
      <c r="U93" s="5">
        <v>3.6</v>
      </c>
      <c r="V93" s="5" t="s">
        <v>31</v>
      </c>
      <c r="W93" s="5">
        <v>2</v>
      </c>
      <c r="X93" s="5">
        <v>1</v>
      </c>
      <c r="Y93" s="5" t="s">
        <v>281</v>
      </c>
      <c r="AA93" s="9">
        <v>46217</v>
      </c>
    </row>
    <row r="94" spans="1:27" ht="300.75" customHeight="1" x14ac:dyDescent="0.2">
      <c r="A94" s="5">
        <v>93</v>
      </c>
      <c r="B94" s="5">
        <v>331598418</v>
      </c>
      <c r="C94" s="5">
        <v>2</v>
      </c>
      <c r="D94" s="5" t="s">
        <v>64</v>
      </c>
      <c r="E94" s="5">
        <v>7</v>
      </c>
      <c r="F94" s="5" t="s">
        <v>282</v>
      </c>
      <c r="G94" s="5">
        <v>58</v>
      </c>
      <c r="H94" s="5">
        <f t="shared" si="2"/>
        <v>4.0604430105464191</v>
      </c>
      <c r="I94" s="5">
        <v>43</v>
      </c>
      <c r="J94" s="5">
        <v>6</v>
      </c>
      <c r="K94" s="5">
        <v>6</v>
      </c>
      <c r="L94" s="6">
        <f t="shared" si="3"/>
        <v>1</v>
      </c>
      <c r="M94" s="5" t="s">
        <v>28</v>
      </c>
      <c r="N94" s="5" t="s">
        <v>61</v>
      </c>
      <c r="O94" s="5">
        <v>1</v>
      </c>
      <c r="P94" s="5">
        <v>58000000</v>
      </c>
      <c r="Q94" s="7" t="s">
        <v>283</v>
      </c>
      <c r="R94" s="5" t="s">
        <v>107</v>
      </c>
      <c r="S94" s="5">
        <v>1</v>
      </c>
      <c r="T94" s="5">
        <v>1</v>
      </c>
      <c r="U94" s="5">
        <v>3.2</v>
      </c>
      <c r="V94" s="5" t="s">
        <v>38</v>
      </c>
      <c r="W94" s="5">
        <v>1</v>
      </c>
      <c r="X94" s="5">
        <v>1</v>
      </c>
      <c r="Y94" s="5" t="s">
        <v>284</v>
      </c>
      <c r="AA94" s="9">
        <v>46217</v>
      </c>
    </row>
    <row r="95" spans="1:27" ht="255.75" customHeight="1" x14ac:dyDescent="0.2">
      <c r="A95" s="5">
        <v>94</v>
      </c>
      <c r="B95" s="5">
        <v>330943108</v>
      </c>
      <c r="C95" s="5">
        <v>3</v>
      </c>
      <c r="D95" s="5" t="s">
        <v>54</v>
      </c>
      <c r="E95" s="5">
        <v>10</v>
      </c>
      <c r="F95" s="5" t="s">
        <v>139</v>
      </c>
      <c r="G95" s="5">
        <v>53.5</v>
      </c>
      <c r="H95" s="5">
        <f t="shared" si="2"/>
        <v>3.9796816539019608</v>
      </c>
      <c r="I95" s="5">
        <v>35.1</v>
      </c>
      <c r="J95" s="5">
        <v>1</v>
      </c>
      <c r="K95" s="5">
        <v>9</v>
      </c>
      <c r="L95" s="6">
        <f t="shared" si="3"/>
        <v>0.1111111111111111</v>
      </c>
      <c r="M95" s="5" t="s">
        <v>66</v>
      </c>
      <c r="N95" s="5" t="s">
        <v>61</v>
      </c>
      <c r="O95" s="5">
        <v>1</v>
      </c>
      <c r="P95" s="5">
        <v>38500000</v>
      </c>
      <c r="Q95" s="7" t="s">
        <v>285</v>
      </c>
      <c r="R95" s="5" t="s">
        <v>107</v>
      </c>
      <c r="S95" s="5">
        <v>1</v>
      </c>
      <c r="T95" s="5">
        <v>1</v>
      </c>
      <c r="U95" s="5">
        <v>3</v>
      </c>
      <c r="V95" s="5" t="s">
        <v>38</v>
      </c>
      <c r="W95" s="5">
        <v>1</v>
      </c>
      <c r="X95" s="5">
        <v>1</v>
      </c>
      <c r="Y95" s="5" t="s">
        <v>286</v>
      </c>
      <c r="AA95" s="9">
        <v>46217</v>
      </c>
    </row>
    <row r="96" spans="1:27" ht="384.75" customHeight="1" x14ac:dyDescent="0.2">
      <c r="A96" s="5">
        <v>95</v>
      </c>
      <c r="B96" s="5">
        <v>329125309</v>
      </c>
      <c r="C96" s="5">
        <v>5</v>
      </c>
      <c r="D96" s="5" t="s">
        <v>54</v>
      </c>
      <c r="E96" s="5">
        <v>8</v>
      </c>
      <c r="F96" s="5" t="s">
        <v>287</v>
      </c>
      <c r="G96" s="5">
        <v>171</v>
      </c>
      <c r="H96" s="5">
        <f t="shared" si="2"/>
        <v>5.1416635565026603</v>
      </c>
      <c r="I96" s="5">
        <v>100</v>
      </c>
      <c r="J96" s="5">
        <v>2</v>
      </c>
      <c r="K96" s="5">
        <v>4</v>
      </c>
      <c r="L96" s="6">
        <f t="shared" si="3"/>
        <v>0.5</v>
      </c>
      <c r="M96" s="5" t="s">
        <v>28</v>
      </c>
      <c r="N96" s="5" t="s">
        <v>61</v>
      </c>
      <c r="O96" s="5">
        <v>1</v>
      </c>
      <c r="P96" s="5">
        <v>155000000</v>
      </c>
      <c r="Q96" s="7" t="s">
        <v>288</v>
      </c>
      <c r="R96" s="5" t="s">
        <v>30</v>
      </c>
      <c r="S96" s="5">
        <v>2</v>
      </c>
      <c r="T96" s="5">
        <v>3</v>
      </c>
      <c r="U96" s="5">
        <v>3</v>
      </c>
      <c r="V96" s="5" t="s">
        <v>38</v>
      </c>
      <c r="W96" s="5">
        <v>1</v>
      </c>
      <c r="X96" s="5">
        <v>1</v>
      </c>
      <c r="Y96" s="5" t="s">
        <v>289</v>
      </c>
      <c r="AA96" s="9">
        <v>46217</v>
      </c>
    </row>
    <row r="97" spans="1:27" ht="409.5" customHeight="1" x14ac:dyDescent="0.2">
      <c r="A97" s="5">
        <v>96</v>
      </c>
      <c r="B97" s="5">
        <v>331756192</v>
      </c>
      <c r="C97" s="5">
        <v>3</v>
      </c>
      <c r="D97" s="5" t="s">
        <v>54</v>
      </c>
      <c r="E97" s="5">
        <v>9</v>
      </c>
      <c r="F97" s="5" t="s">
        <v>290</v>
      </c>
      <c r="G97" s="5">
        <v>76</v>
      </c>
      <c r="H97" s="5">
        <f t="shared" si="2"/>
        <v>4.3307333402863311</v>
      </c>
      <c r="I97" s="5">
        <v>44</v>
      </c>
      <c r="J97" s="5">
        <v>4</v>
      </c>
      <c r="K97" s="5">
        <v>5</v>
      </c>
      <c r="L97" s="6">
        <f t="shared" si="3"/>
        <v>0.8</v>
      </c>
      <c r="M97" s="5" t="s">
        <v>28</v>
      </c>
      <c r="N97" s="5" t="s">
        <v>61</v>
      </c>
      <c r="O97" s="5">
        <v>1</v>
      </c>
      <c r="P97" s="5">
        <v>70000000</v>
      </c>
      <c r="Q97" s="5" t="s">
        <v>291</v>
      </c>
      <c r="R97" s="5" t="s">
        <v>107</v>
      </c>
      <c r="S97" s="5">
        <v>1</v>
      </c>
      <c r="T97" s="5">
        <v>1</v>
      </c>
      <c r="U97" s="5">
        <v>3.2</v>
      </c>
      <c r="V97" s="5" t="s">
        <v>38</v>
      </c>
      <c r="W97" s="5">
        <v>1</v>
      </c>
      <c r="X97" s="5">
        <v>1</v>
      </c>
      <c r="Y97" s="5" t="s">
        <v>292</v>
      </c>
      <c r="AA97" s="9">
        <v>46217</v>
      </c>
    </row>
    <row r="98" spans="1:27" ht="370.5" customHeight="1" x14ac:dyDescent="0.2">
      <c r="A98" s="5">
        <v>97</v>
      </c>
      <c r="B98" s="5">
        <v>330842320</v>
      </c>
      <c r="C98" s="5">
        <v>5</v>
      </c>
      <c r="D98" s="5" t="s">
        <v>54</v>
      </c>
      <c r="E98" s="5">
        <v>10</v>
      </c>
      <c r="F98" s="5" t="s">
        <v>293</v>
      </c>
      <c r="G98" s="5">
        <v>278.7</v>
      </c>
      <c r="H98" s="5">
        <f t="shared" si="2"/>
        <v>5.6301359344879023</v>
      </c>
      <c r="I98" s="5"/>
      <c r="J98" s="5">
        <v>9</v>
      </c>
      <c r="K98" s="5">
        <v>9</v>
      </c>
      <c r="L98" s="6">
        <f t="shared" si="3"/>
        <v>1</v>
      </c>
      <c r="M98" s="5" t="s">
        <v>28</v>
      </c>
      <c r="N98" s="5" t="s">
        <v>61</v>
      </c>
      <c r="O98" s="5">
        <v>1</v>
      </c>
      <c r="P98" s="5">
        <v>850000000</v>
      </c>
      <c r="Q98" s="7" t="s">
        <v>294</v>
      </c>
      <c r="R98" s="5"/>
      <c r="S98" s="5"/>
      <c r="T98" s="5">
        <v>5</v>
      </c>
      <c r="U98" s="5">
        <v>3.15</v>
      </c>
      <c r="V98" s="5" t="s">
        <v>38</v>
      </c>
      <c r="W98" s="5">
        <v>1</v>
      </c>
      <c r="X98" s="5">
        <v>1</v>
      </c>
      <c r="Y98" s="5" t="s">
        <v>295</v>
      </c>
      <c r="AA98" s="9">
        <v>46217</v>
      </c>
    </row>
    <row r="99" spans="1:27" ht="342.75" customHeight="1" x14ac:dyDescent="0.2">
      <c r="A99" s="5">
        <v>98</v>
      </c>
      <c r="B99" s="5">
        <v>311299339</v>
      </c>
      <c r="C99" s="5">
        <v>3</v>
      </c>
      <c r="D99" s="5" t="s">
        <v>64</v>
      </c>
      <c r="E99" s="5">
        <v>2</v>
      </c>
      <c r="F99" s="5" t="s">
        <v>65</v>
      </c>
      <c r="G99" s="5">
        <v>82</v>
      </c>
      <c r="H99" s="5">
        <f t="shared" si="2"/>
        <v>4.4067192472642533</v>
      </c>
      <c r="I99" s="5"/>
      <c r="J99" s="5">
        <v>6</v>
      </c>
      <c r="K99" s="5">
        <v>8</v>
      </c>
      <c r="L99" s="6">
        <f t="shared" si="3"/>
        <v>0.75</v>
      </c>
      <c r="M99" s="5" t="s">
        <v>28</v>
      </c>
      <c r="N99" s="5" t="s">
        <v>61</v>
      </c>
      <c r="O99" s="5">
        <v>1</v>
      </c>
      <c r="P99" s="5">
        <v>51000000</v>
      </c>
      <c r="Q99" s="7" t="s">
        <v>296</v>
      </c>
      <c r="R99" s="5" t="s">
        <v>107</v>
      </c>
      <c r="S99" s="5">
        <v>1</v>
      </c>
      <c r="T99" s="5">
        <v>1</v>
      </c>
      <c r="U99" s="5">
        <v>3</v>
      </c>
      <c r="V99" s="5" t="s">
        <v>38</v>
      </c>
      <c r="W99" s="5">
        <v>1</v>
      </c>
      <c r="X99" s="5">
        <v>1</v>
      </c>
      <c r="Y99" s="5" t="s">
        <v>297</v>
      </c>
      <c r="AA99" s="9">
        <v>46217</v>
      </c>
    </row>
    <row r="100" spans="1:27" ht="315" customHeight="1" x14ac:dyDescent="0.2">
      <c r="A100" s="5">
        <v>99</v>
      </c>
      <c r="B100" s="5">
        <v>311098727</v>
      </c>
      <c r="C100" s="5">
        <v>2</v>
      </c>
      <c r="D100" s="5" t="s">
        <v>64</v>
      </c>
      <c r="E100" s="5">
        <v>11</v>
      </c>
      <c r="F100" s="5" t="s">
        <v>298</v>
      </c>
      <c r="G100" s="5">
        <v>62.8</v>
      </c>
      <c r="H100" s="5">
        <f t="shared" si="2"/>
        <v>4.1399550734741526</v>
      </c>
      <c r="I100" s="5">
        <v>40.9</v>
      </c>
      <c r="J100" s="5">
        <v>2</v>
      </c>
      <c r="K100" s="5">
        <v>9</v>
      </c>
      <c r="L100" s="6">
        <f t="shared" si="3"/>
        <v>0.22222222222222221</v>
      </c>
      <c r="M100" s="5" t="s">
        <v>28</v>
      </c>
      <c r="N100" s="5" t="s">
        <v>61</v>
      </c>
      <c r="O100" s="5">
        <v>1</v>
      </c>
      <c r="P100" s="5">
        <v>39800000</v>
      </c>
      <c r="Q100" s="5" t="s">
        <v>299</v>
      </c>
      <c r="R100" s="5" t="s">
        <v>30</v>
      </c>
      <c r="S100" s="5">
        <v>2</v>
      </c>
      <c r="T100" s="5"/>
      <c r="U100" s="5">
        <v>3</v>
      </c>
      <c r="V100" s="5" t="s">
        <v>38</v>
      </c>
      <c r="W100" s="5">
        <v>1</v>
      </c>
      <c r="X100" s="5">
        <v>1</v>
      </c>
      <c r="Y100" s="5" t="s">
        <v>300</v>
      </c>
      <c r="AA100" s="9">
        <v>46217</v>
      </c>
    </row>
    <row r="101" spans="1:27" ht="328.5" customHeight="1" x14ac:dyDescent="0.2">
      <c r="A101" s="5">
        <v>100</v>
      </c>
      <c r="B101" s="5">
        <v>326233437</v>
      </c>
      <c r="C101" s="5">
        <v>5</v>
      </c>
      <c r="D101" s="5" t="s">
        <v>54</v>
      </c>
      <c r="E101" s="5">
        <v>7</v>
      </c>
      <c r="F101" s="5" t="s">
        <v>301</v>
      </c>
      <c r="G101" s="5">
        <v>253.5</v>
      </c>
      <c r="H101" s="5">
        <f t="shared" si="2"/>
        <v>5.5353638230312381</v>
      </c>
      <c r="I101" s="5"/>
      <c r="J101" s="5">
        <v>7</v>
      </c>
      <c r="K101" s="5">
        <v>8</v>
      </c>
      <c r="L101" s="6">
        <f t="shared" si="3"/>
        <v>0.875</v>
      </c>
      <c r="M101" s="5" t="s">
        <v>57</v>
      </c>
      <c r="N101" s="5" t="s">
        <v>35</v>
      </c>
      <c r="O101" s="5">
        <v>2</v>
      </c>
      <c r="P101" s="5">
        <v>919794700</v>
      </c>
      <c r="Q101" s="7" t="s">
        <v>302</v>
      </c>
      <c r="R101" s="5" t="s">
        <v>37</v>
      </c>
      <c r="S101" s="5">
        <v>3</v>
      </c>
      <c r="T101" s="5">
        <v>4</v>
      </c>
      <c r="U101" s="5">
        <v>3.4</v>
      </c>
      <c r="V101" s="5" t="s">
        <v>38</v>
      </c>
      <c r="W101" s="5">
        <v>1</v>
      </c>
      <c r="X101" s="5">
        <v>1</v>
      </c>
      <c r="Y101" s="5" t="s">
        <v>303</v>
      </c>
      <c r="AA101" s="9">
        <v>46217</v>
      </c>
    </row>
    <row r="102" spans="1:27" ht="300.75" customHeight="1" x14ac:dyDescent="0.2">
      <c r="A102" s="5">
        <v>101</v>
      </c>
      <c r="B102" s="5">
        <v>325805406</v>
      </c>
      <c r="C102" s="5">
        <v>1</v>
      </c>
      <c r="D102" s="5" t="s">
        <v>54</v>
      </c>
      <c r="E102" s="5">
        <v>9</v>
      </c>
      <c r="F102" s="5" t="s">
        <v>304</v>
      </c>
      <c r="G102" s="5">
        <v>37.200000000000003</v>
      </c>
      <c r="H102" s="5">
        <f t="shared" si="2"/>
        <v>3.6163087612791012</v>
      </c>
      <c r="I102" s="5">
        <v>10</v>
      </c>
      <c r="J102" s="5">
        <v>2</v>
      </c>
      <c r="K102" s="5">
        <v>6</v>
      </c>
      <c r="L102" s="6">
        <f t="shared" si="3"/>
        <v>0.33333333333333331</v>
      </c>
      <c r="M102" s="5"/>
      <c r="N102" s="5" t="s">
        <v>61</v>
      </c>
      <c r="O102" s="5">
        <v>1</v>
      </c>
      <c r="P102" s="5">
        <v>48000000</v>
      </c>
      <c r="Q102" s="7" t="s">
        <v>305</v>
      </c>
      <c r="R102" s="5" t="s">
        <v>37</v>
      </c>
      <c r="S102" s="5">
        <v>3</v>
      </c>
      <c r="T102" s="5">
        <v>1</v>
      </c>
      <c r="U102" s="5">
        <v>3.3</v>
      </c>
      <c r="V102" s="5" t="s">
        <v>38</v>
      </c>
      <c r="W102" s="5">
        <v>1</v>
      </c>
      <c r="X102" s="5">
        <v>1</v>
      </c>
      <c r="Y102" s="5" t="s">
        <v>306</v>
      </c>
      <c r="AA102" s="9">
        <v>46217</v>
      </c>
    </row>
    <row r="103" spans="1:27" ht="328.5" customHeight="1" x14ac:dyDescent="0.2">
      <c r="A103" s="5">
        <v>102</v>
      </c>
      <c r="B103" s="5">
        <v>317018278</v>
      </c>
      <c r="C103" s="5">
        <v>4</v>
      </c>
      <c r="D103" s="5" t="s">
        <v>54</v>
      </c>
      <c r="E103" s="5">
        <v>9</v>
      </c>
      <c r="F103" s="5" t="s">
        <v>290</v>
      </c>
      <c r="G103" s="5">
        <v>123.8</v>
      </c>
      <c r="H103" s="5">
        <f t="shared" si="2"/>
        <v>4.8186673602504957</v>
      </c>
      <c r="I103" s="5">
        <v>79.099999999999994</v>
      </c>
      <c r="J103" s="5">
        <v>2</v>
      </c>
      <c r="K103" s="5">
        <v>5</v>
      </c>
      <c r="L103" s="6">
        <f t="shared" si="3"/>
        <v>0.4</v>
      </c>
      <c r="M103" s="5" t="s">
        <v>28</v>
      </c>
      <c r="N103" s="5"/>
      <c r="O103" s="5">
        <v>0</v>
      </c>
      <c r="P103" s="5">
        <v>102000000</v>
      </c>
      <c r="Q103" s="7" t="s">
        <v>307</v>
      </c>
      <c r="R103" s="5" t="s">
        <v>30</v>
      </c>
      <c r="S103" s="5">
        <v>2</v>
      </c>
      <c r="T103" s="5">
        <v>2</v>
      </c>
      <c r="U103" s="5">
        <v>3.5</v>
      </c>
      <c r="V103" s="5" t="s">
        <v>38</v>
      </c>
      <c r="W103" s="5">
        <v>1</v>
      </c>
      <c r="X103" s="5">
        <v>1</v>
      </c>
      <c r="Y103" s="5" t="s">
        <v>308</v>
      </c>
      <c r="AA103" s="9">
        <v>46217</v>
      </c>
    </row>
    <row r="104" spans="1:27" ht="315" customHeight="1" x14ac:dyDescent="0.2">
      <c r="A104" s="5">
        <v>103</v>
      </c>
      <c r="B104" s="5">
        <v>331737254</v>
      </c>
      <c r="C104" s="5">
        <v>3</v>
      </c>
      <c r="D104" s="5" t="s">
        <v>26</v>
      </c>
      <c r="E104" s="5">
        <v>12</v>
      </c>
      <c r="F104" s="5" t="s">
        <v>309</v>
      </c>
      <c r="G104" s="5">
        <v>150</v>
      </c>
      <c r="H104" s="5">
        <f t="shared" si="2"/>
        <v>5.0106352940962555</v>
      </c>
      <c r="I104" s="5">
        <v>85</v>
      </c>
      <c r="J104" s="5">
        <v>4</v>
      </c>
      <c r="K104" s="5">
        <v>6</v>
      </c>
      <c r="L104" s="6">
        <f t="shared" si="3"/>
        <v>0.66666666666666663</v>
      </c>
      <c r="M104" s="5" t="s">
        <v>28</v>
      </c>
      <c r="N104" s="5" t="s">
        <v>67</v>
      </c>
      <c r="O104" s="5">
        <v>1</v>
      </c>
      <c r="P104" s="5">
        <v>200000000</v>
      </c>
      <c r="Q104" s="7" t="s">
        <v>310</v>
      </c>
      <c r="R104" s="5" t="s">
        <v>37</v>
      </c>
      <c r="S104" s="5">
        <v>3</v>
      </c>
      <c r="T104" s="5">
        <v>2</v>
      </c>
      <c r="U104" s="5">
        <v>3.2</v>
      </c>
      <c r="V104" s="5" t="s">
        <v>38</v>
      </c>
      <c r="W104" s="5">
        <v>1</v>
      </c>
      <c r="X104" s="5">
        <v>1</v>
      </c>
      <c r="Y104" s="5" t="s">
        <v>311</v>
      </c>
      <c r="AA104" s="9">
        <v>46217</v>
      </c>
    </row>
    <row r="105" spans="1:27" ht="384.75" customHeight="1" x14ac:dyDescent="0.2">
      <c r="A105" s="5">
        <v>104</v>
      </c>
      <c r="B105" s="5">
        <v>330507907</v>
      </c>
      <c r="C105" s="5">
        <v>3</v>
      </c>
      <c r="D105" s="5" t="s">
        <v>26</v>
      </c>
      <c r="E105" s="5">
        <v>7</v>
      </c>
      <c r="F105" s="5" t="s">
        <v>213</v>
      </c>
      <c r="G105" s="5">
        <v>90.9</v>
      </c>
      <c r="H105" s="5">
        <f t="shared" si="2"/>
        <v>4.5097600011834329</v>
      </c>
      <c r="I105" s="5">
        <v>56</v>
      </c>
      <c r="J105" s="5">
        <v>2</v>
      </c>
      <c r="K105" s="5">
        <v>6</v>
      </c>
      <c r="L105" s="6">
        <f t="shared" si="3"/>
        <v>0.33333333333333331</v>
      </c>
      <c r="M105" s="5" t="s">
        <v>28</v>
      </c>
      <c r="N105" s="5" t="s">
        <v>61</v>
      </c>
      <c r="O105" s="5">
        <v>1</v>
      </c>
      <c r="P105" s="5">
        <v>65000000</v>
      </c>
      <c r="Q105" s="5" t="s">
        <v>312</v>
      </c>
      <c r="R105" s="5" t="s">
        <v>37</v>
      </c>
      <c r="S105" s="5">
        <v>3</v>
      </c>
      <c r="T105" s="5">
        <v>1</v>
      </c>
      <c r="U105" s="5">
        <v>3</v>
      </c>
      <c r="V105" s="5" t="s">
        <v>38</v>
      </c>
      <c r="W105" s="5">
        <v>1</v>
      </c>
      <c r="X105" s="5">
        <v>1</v>
      </c>
      <c r="Y105" s="5" t="s">
        <v>313</v>
      </c>
      <c r="AA105" s="9">
        <v>46217</v>
      </c>
    </row>
    <row r="106" spans="1:27" ht="165.75" customHeight="1" x14ac:dyDescent="0.2">
      <c r="A106" s="5">
        <v>105</v>
      </c>
      <c r="B106" s="5">
        <v>329090134</v>
      </c>
      <c r="C106" s="5">
        <v>4</v>
      </c>
      <c r="D106" s="5" t="s">
        <v>64</v>
      </c>
      <c r="E106" s="5">
        <v>8</v>
      </c>
      <c r="F106" s="5" t="s">
        <v>314</v>
      </c>
      <c r="G106" s="5">
        <v>196.8</v>
      </c>
      <c r="H106" s="5">
        <f t="shared" si="2"/>
        <v>5.2821879846181528</v>
      </c>
      <c r="I106" s="5"/>
      <c r="J106" s="5">
        <v>6</v>
      </c>
      <c r="K106" s="5">
        <v>6</v>
      </c>
      <c r="L106" s="6">
        <f t="shared" si="3"/>
        <v>1</v>
      </c>
      <c r="M106" s="5" t="s">
        <v>28</v>
      </c>
      <c r="N106" s="5" t="s">
        <v>61</v>
      </c>
      <c r="O106" s="5">
        <v>1</v>
      </c>
      <c r="P106" s="5">
        <v>150000000</v>
      </c>
      <c r="Q106" s="7" t="s">
        <v>315</v>
      </c>
      <c r="R106" s="5" t="s">
        <v>107</v>
      </c>
      <c r="S106" s="5">
        <v>1</v>
      </c>
      <c r="T106" s="5">
        <v>2</v>
      </c>
      <c r="U106" s="5"/>
      <c r="V106" s="5"/>
      <c r="W106" s="5"/>
      <c r="X106" s="5">
        <v>1</v>
      </c>
      <c r="Y106" s="5" t="s">
        <v>316</v>
      </c>
      <c r="AA106" s="9">
        <v>46217</v>
      </c>
    </row>
    <row r="107" spans="1:27" ht="225.75" customHeight="1" x14ac:dyDescent="0.2">
      <c r="A107" s="5">
        <v>106</v>
      </c>
      <c r="B107" s="5">
        <v>330917320</v>
      </c>
      <c r="C107" s="5">
        <v>1</v>
      </c>
      <c r="D107" s="5" t="s">
        <v>54</v>
      </c>
      <c r="E107" s="5">
        <v>9</v>
      </c>
      <c r="F107" s="5" t="s">
        <v>304</v>
      </c>
      <c r="G107" s="5">
        <v>37.200000000000003</v>
      </c>
      <c r="H107" s="5">
        <f t="shared" si="2"/>
        <v>3.6163087612791012</v>
      </c>
      <c r="I107" s="5"/>
      <c r="J107" s="5">
        <v>2</v>
      </c>
      <c r="K107" s="5">
        <v>6</v>
      </c>
      <c r="L107" s="6">
        <f t="shared" si="3"/>
        <v>0.33333333333333331</v>
      </c>
      <c r="M107" s="5"/>
      <c r="N107" s="5" t="s">
        <v>61</v>
      </c>
      <c r="O107" s="5">
        <v>1</v>
      </c>
      <c r="P107" s="5">
        <v>48000000</v>
      </c>
      <c r="Q107" s="7" t="s">
        <v>317</v>
      </c>
      <c r="R107" s="5" t="s">
        <v>37</v>
      </c>
      <c r="S107" s="5">
        <v>3</v>
      </c>
      <c r="T107" s="5">
        <v>1</v>
      </c>
      <c r="U107" s="5">
        <v>3.3</v>
      </c>
      <c r="V107" s="5" t="s">
        <v>38</v>
      </c>
      <c r="W107" s="5">
        <v>1</v>
      </c>
      <c r="X107" s="5">
        <v>1</v>
      </c>
      <c r="Y107" s="5" t="s">
        <v>318</v>
      </c>
      <c r="AA107" s="9">
        <v>46217</v>
      </c>
    </row>
    <row r="108" spans="1:27" ht="342.75" customHeight="1" x14ac:dyDescent="0.2">
      <c r="A108" s="5">
        <v>107</v>
      </c>
      <c r="B108" s="5">
        <v>326888196</v>
      </c>
      <c r="C108" s="5">
        <v>3</v>
      </c>
      <c r="D108" s="5" t="s">
        <v>64</v>
      </c>
      <c r="E108" s="5">
        <v>10</v>
      </c>
      <c r="F108" s="5" t="s">
        <v>319</v>
      </c>
      <c r="G108" s="5">
        <v>101</v>
      </c>
      <c r="H108" s="5">
        <f t="shared" si="2"/>
        <v>4.6151205168412597</v>
      </c>
      <c r="I108" s="5">
        <v>80</v>
      </c>
      <c r="J108" s="5">
        <v>3</v>
      </c>
      <c r="K108" s="5">
        <v>3</v>
      </c>
      <c r="L108" s="6">
        <f t="shared" si="3"/>
        <v>1</v>
      </c>
      <c r="M108" s="5" t="s">
        <v>28</v>
      </c>
      <c r="N108" s="5" t="s">
        <v>61</v>
      </c>
      <c r="O108" s="5">
        <v>1</v>
      </c>
      <c r="P108" s="5">
        <v>199500000</v>
      </c>
      <c r="Q108" s="7" t="s">
        <v>320</v>
      </c>
      <c r="R108" s="5" t="s">
        <v>37</v>
      </c>
      <c r="S108" s="5">
        <v>3</v>
      </c>
      <c r="T108" s="5">
        <v>1</v>
      </c>
      <c r="U108" s="5">
        <v>3.8</v>
      </c>
      <c r="V108" s="5" t="s">
        <v>31</v>
      </c>
      <c r="W108" s="5">
        <v>2</v>
      </c>
      <c r="X108" s="5">
        <v>1</v>
      </c>
      <c r="Y108" s="5" t="s">
        <v>321</v>
      </c>
      <c r="AA108" s="9">
        <v>46217</v>
      </c>
    </row>
    <row r="109" spans="1:27" ht="357" customHeight="1" x14ac:dyDescent="0.2">
      <c r="A109" s="5">
        <v>108</v>
      </c>
      <c r="B109" s="5">
        <v>331162541</v>
      </c>
      <c r="C109" s="5">
        <v>1</v>
      </c>
      <c r="D109" s="5" t="s">
        <v>54</v>
      </c>
      <c r="E109" s="5">
        <v>7</v>
      </c>
      <c r="F109" s="5" t="s">
        <v>322</v>
      </c>
      <c r="G109" s="5">
        <v>121.1</v>
      </c>
      <c r="H109" s="5">
        <f t="shared" si="2"/>
        <v>4.7966166505590468</v>
      </c>
      <c r="I109" s="5"/>
      <c r="J109" s="5">
        <v>4</v>
      </c>
      <c r="K109" s="5">
        <v>4</v>
      </c>
      <c r="L109" s="6">
        <f t="shared" si="3"/>
        <v>1</v>
      </c>
      <c r="M109" s="5" t="s">
        <v>28</v>
      </c>
      <c r="N109" s="5" t="s">
        <v>61</v>
      </c>
      <c r="O109" s="5">
        <v>1</v>
      </c>
      <c r="P109" s="5">
        <v>134000000</v>
      </c>
      <c r="Q109" s="7" t="s">
        <v>323</v>
      </c>
      <c r="R109" s="5" t="s">
        <v>37</v>
      </c>
      <c r="S109" s="5">
        <v>3</v>
      </c>
      <c r="T109" s="5">
        <v>2</v>
      </c>
      <c r="U109" s="5">
        <v>3.2</v>
      </c>
      <c r="V109" s="5" t="s">
        <v>38</v>
      </c>
      <c r="W109" s="5">
        <v>1</v>
      </c>
      <c r="X109" s="5">
        <v>1</v>
      </c>
      <c r="Y109" s="5" t="s">
        <v>324</v>
      </c>
      <c r="AA109" s="9">
        <v>46217</v>
      </c>
    </row>
    <row r="110" spans="1:27" ht="342.75" customHeight="1" x14ac:dyDescent="0.2">
      <c r="A110" s="5">
        <v>109</v>
      </c>
      <c r="B110" s="5">
        <v>331515377</v>
      </c>
      <c r="C110" s="5">
        <v>3</v>
      </c>
      <c r="D110" s="5" t="s">
        <v>54</v>
      </c>
      <c r="E110" s="5">
        <v>7</v>
      </c>
      <c r="F110" s="5" t="s">
        <v>186</v>
      </c>
      <c r="G110" s="5">
        <v>60</v>
      </c>
      <c r="H110" s="5">
        <f t="shared" si="2"/>
        <v>4.0943445622221004</v>
      </c>
      <c r="I110" s="5"/>
      <c r="J110" s="5">
        <v>2</v>
      </c>
      <c r="K110" s="5">
        <v>4</v>
      </c>
      <c r="L110" s="6">
        <f t="shared" si="3"/>
        <v>0.5</v>
      </c>
      <c r="M110" s="5" t="s">
        <v>28</v>
      </c>
      <c r="N110" s="5" t="s">
        <v>61</v>
      </c>
      <c r="O110" s="5">
        <v>1</v>
      </c>
      <c r="P110" s="5">
        <v>46500000</v>
      </c>
      <c r="Q110" s="7" t="s">
        <v>325</v>
      </c>
      <c r="R110" s="5" t="s">
        <v>107</v>
      </c>
      <c r="S110" s="5">
        <v>1</v>
      </c>
      <c r="T110" s="5">
        <v>1</v>
      </c>
      <c r="U110" s="5">
        <v>3.5</v>
      </c>
      <c r="V110" s="5" t="s">
        <v>38</v>
      </c>
      <c r="W110" s="5">
        <v>1</v>
      </c>
      <c r="X110" s="5">
        <v>1</v>
      </c>
      <c r="Y110" s="5" t="s">
        <v>326</v>
      </c>
      <c r="AA110" s="9">
        <v>46217</v>
      </c>
    </row>
    <row r="111" spans="1:27" ht="285.75" customHeight="1" x14ac:dyDescent="0.2">
      <c r="A111" s="5">
        <v>110</v>
      </c>
      <c r="B111" s="5">
        <v>331135918</v>
      </c>
      <c r="C111" s="5">
        <v>2</v>
      </c>
      <c r="D111" s="5" t="s">
        <v>64</v>
      </c>
      <c r="E111" s="5">
        <v>11</v>
      </c>
      <c r="F111" s="5" t="s">
        <v>304</v>
      </c>
      <c r="G111" s="5">
        <v>66</v>
      </c>
      <c r="H111" s="5">
        <f t="shared" si="2"/>
        <v>4.1896547420264252</v>
      </c>
      <c r="I111" s="5"/>
      <c r="J111" s="5">
        <v>4</v>
      </c>
      <c r="K111" s="5">
        <v>6</v>
      </c>
      <c r="L111" s="6">
        <f t="shared" si="3"/>
        <v>0.66666666666666663</v>
      </c>
      <c r="M111" s="5"/>
      <c r="N111" s="5" t="s">
        <v>61</v>
      </c>
      <c r="O111" s="5">
        <v>1</v>
      </c>
      <c r="P111" s="5">
        <v>79000000</v>
      </c>
      <c r="Q111" s="7" t="s">
        <v>327</v>
      </c>
      <c r="R111" s="5" t="s">
        <v>37</v>
      </c>
      <c r="S111" s="5">
        <v>3</v>
      </c>
      <c r="T111" s="5">
        <v>2</v>
      </c>
      <c r="U111" s="5">
        <v>3.3</v>
      </c>
      <c r="V111" s="5" t="s">
        <v>38</v>
      </c>
      <c r="W111" s="5">
        <v>1</v>
      </c>
      <c r="X111" s="5">
        <v>1</v>
      </c>
      <c r="Y111" s="5" t="s">
        <v>328</v>
      </c>
      <c r="AA111" s="9">
        <v>46217</v>
      </c>
    </row>
    <row r="112" spans="1:27" ht="328.5" customHeight="1" x14ac:dyDescent="0.2">
      <c r="A112" s="5">
        <v>111</v>
      </c>
      <c r="B112" s="5">
        <v>330122629</v>
      </c>
      <c r="C112" s="5">
        <v>2</v>
      </c>
      <c r="D112" s="5" t="s">
        <v>54</v>
      </c>
      <c r="E112" s="5">
        <v>9</v>
      </c>
      <c r="F112" s="5" t="s">
        <v>304</v>
      </c>
      <c r="G112" s="5">
        <v>55.6</v>
      </c>
      <c r="H112" s="5">
        <f t="shared" si="2"/>
        <v>4.0181832012565364</v>
      </c>
      <c r="I112" s="5">
        <v>30.5</v>
      </c>
      <c r="J112" s="5">
        <v>6</v>
      </c>
      <c r="K112" s="5">
        <v>6</v>
      </c>
      <c r="L112" s="6">
        <f t="shared" si="3"/>
        <v>1</v>
      </c>
      <c r="M112" s="5" t="s">
        <v>28</v>
      </c>
      <c r="N112" s="5"/>
      <c r="O112" s="5">
        <v>0</v>
      </c>
      <c r="P112" s="5">
        <v>55000000</v>
      </c>
      <c r="Q112" s="7" t="s">
        <v>329</v>
      </c>
      <c r="R112" s="5" t="s">
        <v>37</v>
      </c>
      <c r="S112" s="5">
        <v>3</v>
      </c>
      <c r="T112" s="5">
        <v>1</v>
      </c>
      <c r="U112" s="5"/>
      <c r="V112" s="5"/>
      <c r="W112" s="5"/>
      <c r="X112" s="5">
        <v>1</v>
      </c>
      <c r="Y112" s="5" t="s">
        <v>330</v>
      </c>
      <c r="AA112" s="9">
        <v>46217</v>
      </c>
    </row>
    <row r="113" spans="1:27" ht="15" customHeight="1" x14ac:dyDescent="0.2">
      <c r="A113" s="5">
        <v>112</v>
      </c>
      <c r="B113" s="5">
        <v>324689494</v>
      </c>
      <c r="C113" s="5">
        <v>2</v>
      </c>
      <c r="D113" s="5" t="s">
        <v>64</v>
      </c>
      <c r="E113" s="5">
        <v>8</v>
      </c>
      <c r="F113" s="5" t="s">
        <v>181</v>
      </c>
      <c r="G113" s="5">
        <v>50</v>
      </c>
      <c r="H113" s="5">
        <f t="shared" si="2"/>
        <v>3.912023005428146</v>
      </c>
      <c r="I113" s="5"/>
      <c r="J113" s="5">
        <v>2</v>
      </c>
      <c r="K113" s="5">
        <v>6</v>
      </c>
      <c r="L113" s="6">
        <f t="shared" si="3"/>
        <v>0.33333333333333331</v>
      </c>
      <c r="M113" s="5" t="s">
        <v>28</v>
      </c>
      <c r="N113" s="5" t="s">
        <v>61</v>
      </c>
      <c r="O113" s="5">
        <v>1</v>
      </c>
      <c r="P113" s="5">
        <v>39000000</v>
      </c>
      <c r="Q113" s="7" t="s">
        <v>331</v>
      </c>
      <c r="R113" s="5" t="s">
        <v>41</v>
      </c>
      <c r="S113" s="5">
        <v>0</v>
      </c>
      <c r="T113" s="5">
        <v>1</v>
      </c>
      <c r="U113" s="5">
        <v>3.8</v>
      </c>
      <c r="V113" s="5" t="s">
        <v>31</v>
      </c>
      <c r="W113" s="5">
        <v>2</v>
      </c>
      <c r="X113" s="5">
        <v>1</v>
      </c>
      <c r="Y113" s="5" t="s">
        <v>332</v>
      </c>
      <c r="AA113" s="9">
        <v>46217</v>
      </c>
    </row>
    <row r="114" spans="1:27" ht="270.75" customHeight="1" x14ac:dyDescent="0.2">
      <c r="A114" s="5">
        <v>113</v>
      </c>
      <c r="B114" s="5">
        <v>302141177</v>
      </c>
      <c r="C114" s="5">
        <v>1</v>
      </c>
      <c r="D114" s="5" t="s">
        <v>64</v>
      </c>
      <c r="E114" s="5">
        <v>8</v>
      </c>
      <c r="F114" s="5" t="s">
        <v>181</v>
      </c>
      <c r="G114" s="5">
        <v>30</v>
      </c>
      <c r="H114" s="5">
        <f t="shared" si="2"/>
        <v>3.4011973816621555</v>
      </c>
      <c r="I114" s="5">
        <v>23</v>
      </c>
      <c r="J114" s="5">
        <v>2</v>
      </c>
      <c r="K114" s="5">
        <v>6</v>
      </c>
      <c r="L114" s="6">
        <f t="shared" si="3"/>
        <v>0.33333333333333331</v>
      </c>
      <c r="M114" s="5" t="s">
        <v>28</v>
      </c>
      <c r="N114" s="5" t="s">
        <v>61</v>
      </c>
      <c r="O114" s="5">
        <v>1</v>
      </c>
      <c r="P114" s="5">
        <v>23400000</v>
      </c>
      <c r="Q114" s="7" t="s">
        <v>184</v>
      </c>
      <c r="R114" s="5" t="s">
        <v>37</v>
      </c>
      <c r="S114" s="5">
        <v>3</v>
      </c>
      <c r="T114" s="5">
        <v>1</v>
      </c>
      <c r="U114" s="5">
        <v>3.8</v>
      </c>
      <c r="V114" s="5" t="s">
        <v>31</v>
      </c>
      <c r="W114" s="5">
        <v>2</v>
      </c>
      <c r="X114" s="5">
        <v>1</v>
      </c>
      <c r="Y114" s="5" t="s">
        <v>333</v>
      </c>
      <c r="AA114" s="9">
        <v>46217</v>
      </c>
    </row>
    <row r="115" spans="1:27" ht="315" customHeight="1" x14ac:dyDescent="0.2">
      <c r="A115" s="5">
        <v>114</v>
      </c>
      <c r="B115" s="5">
        <v>329374356</v>
      </c>
      <c r="C115" s="5">
        <v>2</v>
      </c>
      <c r="D115" s="5" t="s">
        <v>26</v>
      </c>
      <c r="E115" s="5">
        <v>8</v>
      </c>
      <c r="F115" s="5" t="s">
        <v>87</v>
      </c>
      <c r="G115" s="5">
        <v>65</v>
      </c>
      <c r="H115" s="5">
        <f t="shared" si="2"/>
        <v>4.1743872698956368</v>
      </c>
      <c r="I115" s="5">
        <v>40</v>
      </c>
      <c r="J115" s="5">
        <v>3</v>
      </c>
      <c r="K115" s="5">
        <v>9</v>
      </c>
      <c r="L115" s="6">
        <f t="shared" si="3"/>
        <v>0.33333333333333331</v>
      </c>
      <c r="M115" s="5" t="s">
        <v>28</v>
      </c>
      <c r="N115" s="5" t="s">
        <v>61</v>
      </c>
      <c r="O115" s="5">
        <v>1</v>
      </c>
      <c r="P115" s="5">
        <v>72000000</v>
      </c>
      <c r="Q115" s="7" t="s">
        <v>334</v>
      </c>
      <c r="R115" s="5" t="s">
        <v>30</v>
      </c>
      <c r="S115" s="5">
        <v>2</v>
      </c>
      <c r="T115" s="5">
        <v>1</v>
      </c>
      <c r="U115" s="5">
        <v>2.8</v>
      </c>
      <c r="V115" s="5" t="s">
        <v>52</v>
      </c>
      <c r="W115" s="5">
        <v>0</v>
      </c>
      <c r="X115" s="5">
        <v>1</v>
      </c>
      <c r="Y115" s="5" t="s">
        <v>335</v>
      </c>
      <c r="AA115" s="9">
        <v>46217</v>
      </c>
    </row>
    <row r="116" spans="1:27" ht="300.75" customHeight="1" x14ac:dyDescent="0.2">
      <c r="A116" s="5">
        <v>115</v>
      </c>
      <c r="B116" s="5">
        <v>331911587</v>
      </c>
      <c r="C116" s="5">
        <v>2</v>
      </c>
      <c r="D116" s="5" t="s">
        <v>64</v>
      </c>
      <c r="E116" s="5">
        <v>10</v>
      </c>
      <c r="F116" s="5" t="s">
        <v>336</v>
      </c>
      <c r="G116" s="5">
        <v>88</v>
      </c>
      <c r="H116" s="5">
        <f t="shared" si="2"/>
        <v>4.4773368144782069</v>
      </c>
      <c r="I116" s="5">
        <v>41.8</v>
      </c>
      <c r="J116" s="5">
        <v>2</v>
      </c>
      <c r="K116" s="5">
        <v>8</v>
      </c>
      <c r="L116" s="6">
        <f t="shared" si="3"/>
        <v>0.25</v>
      </c>
      <c r="M116" s="5" t="s">
        <v>57</v>
      </c>
      <c r="N116" s="5" t="s">
        <v>35</v>
      </c>
      <c r="O116" s="5">
        <v>2</v>
      </c>
      <c r="P116" s="5">
        <v>271170000</v>
      </c>
      <c r="Q116" s="7" t="s">
        <v>337</v>
      </c>
      <c r="R116" s="5"/>
      <c r="S116" s="5"/>
      <c r="T116" s="5">
        <v>2</v>
      </c>
      <c r="U116" s="5">
        <v>7.39</v>
      </c>
      <c r="V116" s="5" t="s">
        <v>31</v>
      </c>
      <c r="W116" s="5">
        <v>2</v>
      </c>
      <c r="X116" s="5">
        <v>1</v>
      </c>
      <c r="Y116" s="5" t="s">
        <v>338</v>
      </c>
      <c r="AA116" s="9">
        <v>46217</v>
      </c>
    </row>
    <row r="117" spans="1:27" ht="300.75" customHeight="1" x14ac:dyDescent="0.2">
      <c r="A117" s="5">
        <v>116</v>
      </c>
      <c r="B117" s="5">
        <v>331911586</v>
      </c>
      <c r="C117" s="5">
        <v>2</v>
      </c>
      <c r="D117" s="5" t="s">
        <v>64</v>
      </c>
      <c r="E117" s="5">
        <v>10</v>
      </c>
      <c r="F117" s="5" t="s">
        <v>336</v>
      </c>
      <c r="G117" s="5">
        <v>103</v>
      </c>
      <c r="H117" s="5">
        <f t="shared" si="2"/>
        <v>4.6347289882296359</v>
      </c>
      <c r="I117" s="5">
        <v>46.1</v>
      </c>
      <c r="J117" s="5">
        <v>4</v>
      </c>
      <c r="K117" s="5">
        <v>8</v>
      </c>
      <c r="L117" s="6">
        <f t="shared" si="3"/>
        <v>0.5</v>
      </c>
      <c r="M117" s="5" t="s">
        <v>57</v>
      </c>
      <c r="N117" s="5" t="s">
        <v>35</v>
      </c>
      <c r="O117" s="5">
        <v>2</v>
      </c>
      <c r="P117" s="5">
        <v>340620000</v>
      </c>
      <c r="Q117" s="7" t="s">
        <v>339</v>
      </c>
      <c r="R117" s="5"/>
      <c r="S117" s="5"/>
      <c r="T117" s="5">
        <v>1</v>
      </c>
      <c r="U117" s="5">
        <v>7.39</v>
      </c>
      <c r="V117" s="5" t="s">
        <v>31</v>
      </c>
      <c r="W117" s="5">
        <v>2</v>
      </c>
      <c r="X117" s="5">
        <v>1</v>
      </c>
      <c r="Y117" s="5" t="s">
        <v>340</v>
      </c>
      <c r="AA117" s="9">
        <v>46217</v>
      </c>
    </row>
    <row r="118" spans="1:27" ht="342.75" customHeight="1" x14ac:dyDescent="0.2">
      <c r="A118" s="5">
        <v>117</v>
      </c>
      <c r="B118" s="5">
        <v>331911585</v>
      </c>
      <c r="C118" s="5">
        <v>3</v>
      </c>
      <c r="D118" s="5" t="s">
        <v>64</v>
      </c>
      <c r="E118" s="5">
        <v>10</v>
      </c>
      <c r="F118" s="5" t="s">
        <v>336</v>
      </c>
      <c r="G118" s="5">
        <v>154</v>
      </c>
      <c r="H118" s="5">
        <f t="shared" si="2"/>
        <v>5.0369526024136295</v>
      </c>
      <c r="I118" s="5">
        <v>63</v>
      </c>
      <c r="J118" s="5">
        <v>2</v>
      </c>
      <c r="K118" s="5">
        <v>8</v>
      </c>
      <c r="L118" s="6">
        <f t="shared" si="3"/>
        <v>0.25</v>
      </c>
      <c r="M118" s="5" t="s">
        <v>57</v>
      </c>
      <c r="N118" s="5" t="s">
        <v>35</v>
      </c>
      <c r="O118" s="5">
        <v>2</v>
      </c>
      <c r="P118" s="5">
        <v>458050000</v>
      </c>
      <c r="Q118" s="7" t="s">
        <v>341</v>
      </c>
      <c r="R118" s="5"/>
      <c r="S118" s="5"/>
      <c r="T118" s="5">
        <v>2</v>
      </c>
      <c r="U118" s="5">
        <v>7.39</v>
      </c>
      <c r="V118" s="5" t="s">
        <v>31</v>
      </c>
      <c r="W118" s="5">
        <v>2</v>
      </c>
      <c r="X118" s="5">
        <v>1</v>
      </c>
      <c r="Y118" s="5" t="s">
        <v>342</v>
      </c>
      <c r="AA118" s="9">
        <v>46217</v>
      </c>
    </row>
    <row r="119" spans="1:27" ht="357" customHeight="1" x14ac:dyDescent="0.2">
      <c r="A119" s="5">
        <v>118</v>
      </c>
      <c r="B119" s="5">
        <v>331911584</v>
      </c>
      <c r="C119" s="5">
        <v>3</v>
      </c>
      <c r="D119" s="5" t="s">
        <v>64</v>
      </c>
      <c r="E119" s="5">
        <v>10</v>
      </c>
      <c r="F119" s="5" t="s">
        <v>336</v>
      </c>
      <c r="G119" s="5">
        <v>148</v>
      </c>
      <c r="H119" s="5">
        <f t="shared" si="2"/>
        <v>4.9972122737641147</v>
      </c>
      <c r="I119" s="5">
        <v>79.599999999999994</v>
      </c>
      <c r="J119" s="5">
        <v>4</v>
      </c>
      <c r="K119" s="5">
        <v>8</v>
      </c>
      <c r="L119" s="6">
        <f t="shared" si="3"/>
        <v>0.5</v>
      </c>
      <c r="M119" s="5" t="s">
        <v>57</v>
      </c>
      <c r="N119" s="5" t="s">
        <v>35</v>
      </c>
      <c r="O119" s="5">
        <v>2</v>
      </c>
      <c r="P119" s="5">
        <v>504620000</v>
      </c>
      <c r="Q119" s="7" t="s">
        <v>343</v>
      </c>
      <c r="R119" s="5"/>
      <c r="S119" s="5"/>
      <c r="T119" s="5">
        <v>2</v>
      </c>
      <c r="U119" s="5">
        <v>7.39</v>
      </c>
      <c r="V119" s="5" t="s">
        <v>31</v>
      </c>
      <c r="W119" s="5">
        <v>2</v>
      </c>
      <c r="X119" s="5">
        <v>1</v>
      </c>
      <c r="Y119" s="5" t="s">
        <v>344</v>
      </c>
      <c r="AA119" s="9">
        <v>46217</v>
      </c>
    </row>
    <row r="120" spans="1:27" ht="270.75" customHeight="1" x14ac:dyDescent="0.2">
      <c r="A120" s="5">
        <v>119</v>
      </c>
      <c r="B120" s="5">
        <v>331911583</v>
      </c>
      <c r="C120" s="5">
        <v>3</v>
      </c>
      <c r="D120" s="5" t="s">
        <v>64</v>
      </c>
      <c r="E120" s="5">
        <v>10</v>
      </c>
      <c r="F120" s="5" t="s">
        <v>336</v>
      </c>
      <c r="G120" s="5">
        <v>154</v>
      </c>
      <c r="H120" s="5">
        <f t="shared" si="2"/>
        <v>5.0369526024136295</v>
      </c>
      <c r="I120" s="5">
        <v>64.3</v>
      </c>
      <c r="J120" s="5">
        <v>4</v>
      </c>
      <c r="K120" s="5">
        <v>8</v>
      </c>
      <c r="L120" s="6">
        <f t="shared" si="3"/>
        <v>0.5</v>
      </c>
      <c r="M120" s="5" t="s">
        <v>57</v>
      </c>
      <c r="N120" s="5" t="s">
        <v>35</v>
      </c>
      <c r="O120" s="5">
        <v>2</v>
      </c>
      <c r="P120" s="5">
        <v>508350000</v>
      </c>
      <c r="Q120" s="7" t="s">
        <v>345</v>
      </c>
      <c r="R120" s="5"/>
      <c r="S120" s="5"/>
      <c r="T120" s="5">
        <v>2</v>
      </c>
      <c r="U120" s="5">
        <v>7.39</v>
      </c>
      <c r="V120" s="5" t="s">
        <v>31</v>
      </c>
      <c r="W120" s="5">
        <v>2</v>
      </c>
      <c r="X120" s="5">
        <v>1</v>
      </c>
      <c r="Y120" s="5" t="s">
        <v>346</v>
      </c>
      <c r="AA120" s="9">
        <v>46217</v>
      </c>
    </row>
    <row r="121" spans="1:27" ht="210.75" customHeight="1" x14ac:dyDescent="0.2">
      <c r="A121" s="5">
        <v>120</v>
      </c>
      <c r="B121" s="5">
        <v>331911582</v>
      </c>
      <c r="C121" s="5">
        <v>3</v>
      </c>
      <c r="D121" s="5" t="s">
        <v>64</v>
      </c>
      <c r="E121" s="5">
        <v>10</v>
      </c>
      <c r="F121" s="5" t="s">
        <v>336</v>
      </c>
      <c r="G121" s="5">
        <v>166</v>
      </c>
      <c r="H121" s="5">
        <f t="shared" si="2"/>
        <v>5.1119877883565437</v>
      </c>
      <c r="I121" s="5">
        <v>64.5</v>
      </c>
      <c r="J121" s="5">
        <v>2</v>
      </c>
      <c r="K121" s="5">
        <v>8</v>
      </c>
      <c r="L121" s="6">
        <f t="shared" si="3"/>
        <v>0.25</v>
      </c>
      <c r="M121" s="5" t="s">
        <v>57</v>
      </c>
      <c r="N121" s="5" t="s">
        <v>35</v>
      </c>
      <c r="O121" s="5">
        <v>2</v>
      </c>
      <c r="P121" s="5">
        <v>561960000</v>
      </c>
      <c r="Q121" s="7" t="s">
        <v>347</v>
      </c>
      <c r="R121" s="5"/>
      <c r="S121" s="5"/>
      <c r="T121" s="5">
        <v>2</v>
      </c>
      <c r="U121" s="5">
        <v>7.39</v>
      </c>
      <c r="V121" s="5" t="s">
        <v>31</v>
      </c>
      <c r="W121" s="5">
        <v>2</v>
      </c>
      <c r="X121" s="5">
        <v>1</v>
      </c>
      <c r="Y121" s="5" t="s">
        <v>348</v>
      </c>
      <c r="AA121" s="9">
        <v>46217</v>
      </c>
    </row>
    <row r="122" spans="1:27" ht="90.75" customHeight="1" x14ac:dyDescent="0.2">
      <c r="A122" s="5">
        <v>121</v>
      </c>
      <c r="B122" s="5">
        <v>329108976</v>
      </c>
      <c r="C122" s="5">
        <v>3</v>
      </c>
      <c r="D122" s="5" t="s">
        <v>349</v>
      </c>
      <c r="E122" s="5">
        <v>12</v>
      </c>
      <c r="F122" s="5" t="s">
        <v>350</v>
      </c>
      <c r="G122" s="5">
        <v>129</v>
      </c>
      <c r="H122" s="5">
        <f t="shared" si="2"/>
        <v>4.8598124043616719</v>
      </c>
      <c r="I122" s="5">
        <v>96</v>
      </c>
      <c r="J122" s="5">
        <v>3</v>
      </c>
      <c r="K122" s="5">
        <v>5</v>
      </c>
      <c r="L122" s="6">
        <f t="shared" si="3"/>
        <v>0.6</v>
      </c>
      <c r="M122" s="5" t="s">
        <v>28</v>
      </c>
      <c r="N122" s="5"/>
      <c r="O122" s="5">
        <v>0</v>
      </c>
      <c r="P122" s="5">
        <v>147000000</v>
      </c>
      <c r="Q122" s="7" t="s">
        <v>351</v>
      </c>
      <c r="R122" s="5" t="s">
        <v>37</v>
      </c>
      <c r="S122" s="5">
        <v>3</v>
      </c>
      <c r="T122" s="5">
        <v>3</v>
      </c>
      <c r="U122" s="5"/>
      <c r="V122" s="5"/>
      <c r="W122" s="5"/>
      <c r="X122" s="5">
        <v>0</v>
      </c>
      <c r="Y122" s="5" t="s">
        <v>352</v>
      </c>
      <c r="AA122" s="9">
        <v>46217</v>
      </c>
    </row>
    <row r="123" spans="1:27" ht="15" customHeight="1" x14ac:dyDescent="0.2">
      <c r="A123" s="5">
        <v>122</v>
      </c>
      <c r="B123" s="5">
        <v>329108977</v>
      </c>
      <c r="C123" s="5">
        <v>3</v>
      </c>
      <c r="D123" s="5" t="s">
        <v>349</v>
      </c>
      <c r="E123" s="5">
        <v>12</v>
      </c>
      <c r="F123" s="5" t="s">
        <v>350</v>
      </c>
      <c r="G123" s="5">
        <v>110</v>
      </c>
      <c r="H123" s="5">
        <f t="shared" si="2"/>
        <v>4.7004803657924166</v>
      </c>
      <c r="I123" s="5">
        <v>88</v>
      </c>
      <c r="J123" s="5">
        <v>3</v>
      </c>
      <c r="K123" s="5">
        <v>5</v>
      </c>
      <c r="L123" s="6">
        <f t="shared" si="3"/>
        <v>0.6</v>
      </c>
      <c r="M123" s="5" t="s">
        <v>28</v>
      </c>
      <c r="N123" s="5"/>
      <c r="O123" s="5">
        <v>0</v>
      </c>
      <c r="P123" s="5">
        <v>135000000</v>
      </c>
      <c r="Q123" s="7" t="s">
        <v>353</v>
      </c>
      <c r="R123" s="5" t="s">
        <v>37</v>
      </c>
      <c r="S123" s="5">
        <v>3</v>
      </c>
      <c r="T123" s="5">
        <v>3</v>
      </c>
      <c r="U123" s="5">
        <v>3</v>
      </c>
      <c r="V123" s="5" t="s">
        <v>38</v>
      </c>
      <c r="W123" s="5">
        <v>1</v>
      </c>
      <c r="X123" s="5">
        <v>0</v>
      </c>
      <c r="Y123" s="5" t="s">
        <v>354</v>
      </c>
      <c r="AA123" s="9">
        <v>46217</v>
      </c>
    </row>
    <row r="124" spans="1:27" ht="60.75" customHeight="1" x14ac:dyDescent="0.2">
      <c r="A124" s="5">
        <v>123</v>
      </c>
      <c r="B124" s="5">
        <v>331067179</v>
      </c>
      <c r="C124" s="5">
        <v>3</v>
      </c>
      <c r="D124" s="5" t="s">
        <v>349</v>
      </c>
      <c r="E124" s="5">
        <v>9</v>
      </c>
      <c r="F124" s="5" t="s">
        <v>355</v>
      </c>
      <c r="G124" s="5">
        <v>88</v>
      </c>
      <c r="H124" s="5">
        <f t="shared" si="2"/>
        <v>4.4773368144782069</v>
      </c>
      <c r="I124" s="5">
        <v>55</v>
      </c>
      <c r="J124" s="5">
        <v>3</v>
      </c>
      <c r="K124" s="5">
        <v>5</v>
      </c>
      <c r="L124" s="6">
        <f t="shared" si="3"/>
        <v>0.6</v>
      </c>
      <c r="M124" s="5" t="s">
        <v>28</v>
      </c>
      <c r="N124" s="5"/>
      <c r="O124" s="5">
        <v>0</v>
      </c>
      <c r="P124" s="5">
        <v>60000000</v>
      </c>
      <c r="Q124" s="7" t="s">
        <v>356</v>
      </c>
      <c r="R124" s="5" t="s">
        <v>37</v>
      </c>
      <c r="S124" s="5">
        <v>3</v>
      </c>
      <c r="T124" s="5">
        <v>1</v>
      </c>
      <c r="U124" s="5">
        <v>3.2</v>
      </c>
      <c r="V124" s="5" t="s">
        <v>38</v>
      </c>
      <c r="W124" s="5">
        <v>1</v>
      </c>
      <c r="X124" s="5">
        <v>0</v>
      </c>
      <c r="Y124" s="5" t="s">
        <v>357</v>
      </c>
      <c r="AA124" s="9">
        <v>46217</v>
      </c>
    </row>
    <row r="125" spans="1:27" ht="120.75" customHeight="1" x14ac:dyDescent="0.2">
      <c r="A125" s="5">
        <v>124</v>
      </c>
      <c r="B125" s="5">
        <v>325733243</v>
      </c>
      <c r="C125" s="5">
        <v>4</v>
      </c>
      <c r="D125" s="5" t="s">
        <v>349</v>
      </c>
      <c r="E125" s="5">
        <v>5</v>
      </c>
      <c r="F125" s="5" t="s">
        <v>358</v>
      </c>
      <c r="G125" s="5">
        <v>200.6</v>
      </c>
      <c r="H125" s="5">
        <f t="shared" si="2"/>
        <v>5.3013128755278354</v>
      </c>
      <c r="I125" s="5">
        <v>180.8</v>
      </c>
      <c r="J125" s="5">
        <v>2</v>
      </c>
      <c r="K125" s="5">
        <v>4</v>
      </c>
      <c r="L125" s="6">
        <f t="shared" si="3"/>
        <v>0.5</v>
      </c>
      <c r="M125" s="5" t="s">
        <v>57</v>
      </c>
      <c r="N125" s="5" t="s">
        <v>61</v>
      </c>
      <c r="O125" s="5">
        <v>1</v>
      </c>
      <c r="P125" s="5">
        <v>459000000</v>
      </c>
      <c r="Q125" s="7" t="s">
        <v>359</v>
      </c>
      <c r="R125" s="5" t="s">
        <v>37</v>
      </c>
      <c r="S125" s="5">
        <v>3</v>
      </c>
      <c r="T125" s="5">
        <v>4</v>
      </c>
      <c r="U125" s="5">
        <v>4.1500000000000004</v>
      </c>
      <c r="V125" s="5" t="s">
        <v>31</v>
      </c>
      <c r="W125" s="5">
        <v>2</v>
      </c>
      <c r="X125" s="5">
        <v>0</v>
      </c>
      <c r="Y125" s="5" t="s">
        <v>360</v>
      </c>
      <c r="AA125" s="9">
        <v>46217</v>
      </c>
    </row>
    <row r="126" spans="1:27" ht="225.75" customHeight="1" x14ac:dyDescent="0.2">
      <c r="A126" s="5">
        <v>125</v>
      </c>
      <c r="B126" s="5">
        <v>329347036</v>
      </c>
      <c r="C126" s="5">
        <v>6</v>
      </c>
      <c r="D126" s="5" t="s">
        <v>349</v>
      </c>
      <c r="E126" s="5">
        <v>7</v>
      </c>
      <c r="F126" s="5" t="s">
        <v>361</v>
      </c>
      <c r="G126" s="5">
        <v>140</v>
      </c>
      <c r="H126" s="5">
        <f t="shared" si="2"/>
        <v>4.9416424226093039</v>
      </c>
      <c r="I126" s="5"/>
      <c r="J126" s="5">
        <v>2</v>
      </c>
      <c r="K126" s="5">
        <v>4</v>
      </c>
      <c r="L126" s="6">
        <f t="shared" si="3"/>
        <v>0.5</v>
      </c>
      <c r="M126" s="5" t="s">
        <v>28</v>
      </c>
      <c r="N126" s="5" t="s">
        <v>61</v>
      </c>
      <c r="O126" s="5">
        <v>1</v>
      </c>
      <c r="P126" s="5">
        <v>115000000</v>
      </c>
      <c r="Q126" s="7" t="s">
        <v>362</v>
      </c>
      <c r="R126" s="5" t="s">
        <v>37</v>
      </c>
      <c r="S126" s="5">
        <v>3</v>
      </c>
      <c r="T126" s="5">
        <v>2</v>
      </c>
      <c r="U126" s="5">
        <v>3.4</v>
      </c>
      <c r="V126" s="5" t="s">
        <v>38</v>
      </c>
      <c r="W126" s="5">
        <v>1</v>
      </c>
      <c r="X126" s="5">
        <v>0</v>
      </c>
      <c r="Y126" s="5" t="s">
        <v>363</v>
      </c>
      <c r="AA126" s="9">
        <v>46217</v>
      </c>
    </row>
    <row r="127" spans="1:27" ht="315" customHeight="1" x14ac:dyDescent="0.2">
      <c r="A127" s="5">
        <v>126</v>
      </c>
      <c r="B127" s="5">
        <v>331202250</v>
      </c>
      <c r="C127" s="5">
        <v>4</v>
      </c>
      <c r="D127" s="5" t="s">
        <v>349</v>
      </c>
      <c r="E127" s="5">
        <v>3</v>
      </c>
      <c r="F127" s="5" t="s">
        <v>364</v>
      </c>
      <c r="G127" s="5">
        <v>130</v>
      </c>
      <c r="H127" s="5">
        <f t="shared" si="2"/>
        <v>4.8675344504555822</v>
      </c>
      <c r="I127" s="5">
        <v>86</v>
      </c>
      <c r="J127" s="5">
        <v>6</v>
      </c>
      <c r="K127" s="5">
        <v>8</v>
      </c>
      <c r="L127" s="6">
        <f t="shared" si="3"/>
        <v>0.75</v>
      </c>
      <c r="M127" s="5" t="s">
        <v>28</v>
      </c>
      <c r="N127" s="5"/>
      <c r="O127" s="5">
        <v>0</v>
      </c>
      <c r="P127" s="5">
        <v>94900000</v>
      </c>
      <c r="Q127" s="7" t="s">
        <v>365</v>
      </c>
      <c r="R127" s="5" t="s">
        <v>107</v>
      </c>
      <c r="S127" s="5">
        <v>1</v>
      </c>
      <c r="T127" s="5">
        <v>1</v>
      </c>
      <c r="U127" s="5">
        <v>3.2</v>
      </c>
      <c r="V127" s="5" t="s">
        <v>38</v>
      </c>
      <c r="W127" s="5">
        <v>1</v>
      </c>
      <c r="X127" s="5">
        <v>0</v>
      </c>
      <c r="Y127" s="5" t="s">
        <v>366</v>
      </c>
      <c r="AA127" s="9">
        <v>46217</v>
      </c>
    </row>
    <row r="128" spans="1:27" ht="225.75" customHeight="1" x14ac:dyDescent="0.2">
      <c r="A128" s="5">
        <v>127</v>
      </c>
      <c r="B128" s="5">
        <v>330765401</v>
      </c>
      <c r="C128" s="5">
        <v>3</v>
      </c>
      <c r="D128" s="5" t="s">
        <v>349</v>
      </c>
      <c r="E128" s="5">
        <v>5</v>
      </c>
      <c r="F128" s="5" t="s">
        <v>367</v>
      </c>
      <c r="G128" s="5">
        <v>109</v>
      </c>
      <c r="H128" s="5">
        <f t="shared" si="2"/>
        <v>4.6913478822291435</v>
      </c>
      <c r="I128" s="5">
        <v>55</v>
      </c>
      <c r="J128" s="5">
        <v>6</v>
      </c>
      <c r="K128" s="5">
        <v>6</v>
      </c>
      <c r="L128" s="6">
        <f t="shared" si="3"/>
        <v>1</v>
      </c>
      <c r="M128" s="5" t="s">
        <v>66</v>
      </c>
      <c r="N128" s="5" t="s">
        <v>61</v>
      </c>
      <c r="O128" s="5">
        <v>1</v>
      </c>
      <c r="P128" s="5">
        <v>110000000</v>
      </c>
      <c r="Q128" s="7" t="s">
        <v>368</v>
      </c>
      <c r="R128" s="5" t="s">
        <v>37</v>
      </c>
      <c r="S128" s="5">
        <v>3</v>
      </c>
      <c r="T128" s="5">
        <v>2</v>
      </c>
      <c r="U128" s="5">
        <v>3.7</v>
      </c>
      <c r="V128" s="5" t="s">
        <v>31</v>
      </c>
      <c r="W128" s="5">
        <v>2</v>
      </c>
      <c r="X128" s="5">
        <v>0</v>
      </c>
      <c r="Y128" s="5" t="s">
        <v>369</v>
      </c>
      <c r="AA128" s="9">
        <v>46217</v>
      </c>
    </row>
    <row r="129" spans="1:27" ht="285.75" customHeight="1" x14ac:dyDescent="0.2">
      <c r="A129" s="5">
        <v>128</v>
      </c>
      <c r="B129" s="5">
        <v>327199251</v>
      </c>
      <c r="C129" s="5">
        <v>4</v>
      </c>
      <c r="D129" s="5" t="s">
        <v>349</v>
      </c>
      <c r="E129" s="5">
        <v>5</v>
      </c>
      <c r="F129" s="5" t="s">
        <v>370</v>
      </c>
      <c r="G129" s="5">
        <v>103</v>
      </c>
      <c r="H129" s="5">
        <f t="shared" si="2"/>
        <v>4.6347289882296359</v>
      </c>
      <c r="I129" s="5">
        <v>70.5</v>
      </c>
      <c r="J129" s="5">
        <v>5</v>
      </c>
      <c r="K129" s="5">
        <v>8</v>
      </c>
      <c r="L129" s="6">
        <f t="shared" si="3"/>
        <v>0.625</v>
      </c>
      <c r="M129" s="5" t="s">
        <v>28</v>
      </c>
      <c r="N129" s="5"/>
      <c r="O129" s="5">
        <v>0</v>
      </c>
      <c r="P129" s="5">
        <v>62000000</v>
      </c>
      <c r="Q129" s="5" t="s">
        <v>371</v>
      </c>
      <c r="R129" s="5" t="s">
        <v>41</v>
      </c>
      <c r="S129" s="5">
        <v>0</v>
      </c>
      <c r="T129" s="5">
        <v>2</v>
      </c>
      <c r="U129" s="5">
        <v>3</v>
      </c>
      <c r="V129" s="5" t="s">
        <v>38</v>
      </c>
      <c r="W129" s="5">
        <v>1</v>
      </c>
      <c r="X129" s="5">
        <v>0</v>
      </c>
      <c r="Y129" s="5" t="s">
        <v>372</v>
      </c>
      <c r="AA129" s="9">
        <v>46217</v>
      </c>
    </row>
    <row r="130" spans="1:27" ht="270.75" customHeight="1" x14ac:dyDescent="0.2">
      <c r="A130" s="5">
        <v>129</v>
      </c>
      <c r="B130" s="5">
        <v>331662833</v>
      </c>
      <c r="C130" s="5">
        <v>3</v>
      </c>
      <c r="D130" s="5" t="s">
        <v>373</v>
      </c>
      <c r="E130" s="5">
        <v>15</v>
      </c>
      <c r="F130" s="5" t="s">
        <v>374</v>
      </c>
      <c r="G130" s="5">
        <v>68.8</v>
      </c>
      <c r="H130" s="5">
        <f t="shared" ref="H130:H193" si="4">LN(G130)</f>
        <v>4.2312037449392976</v>
      </c>
      <c r="I130" s="5">
        <v>50.5</v>
      </c>
      <c r="J130" s="5">
        <v>5</v>
      </c>
      <c r="K130" s="5">
        <v>5</v>
      </c>
      <c r="L130" s="6">
        <f t="shared" ref="L130:L193" si="5">J130/K130</f>
        <v>1</v>
      </c>
      <c r="M130" s="5" t="s">
        <v>28</v>
      </c>
      <c r="N130" s="5"/>
      <c r="O130" s="5">
        <v>0</v>
      </c>
      <c r="P130" s="5">
        <v>36000000</v>
      </c>
      <c r="Q130" s="7" t="s">
        <v>375</v>
      </c>
      <c r="R130" s="5"/>
      <c r="S130" s="5"/>
      <c r="T130" s="5">
        <v>1</v>
      </c>
      <c r="U130" s="5">
        <v>3.2</v>
      </c>
      <c r="V130" s="5" t="s">
        <v>38</v>
      </c>
      <c r="W130" s="5">
        <v>1</v>
      </c>
      <c r="X130" s="5">
        <v>0</v>
      </c>
      <c r="Y130" s="5" t="s">
        <v>376</v>
      </c>
      <c r="AA130" s="9">
        <v>46217</v>
      </c>
    </row>
    <row r="131" spans="1:27" ht="285.75" customHeight="1" x14ac:dyDescent="0.2">
      <c r="A131" s="5">
        <v>130</v>
      </c>
      <c r="B131" s="5">
        <v>331144586</v>
      </c>
      <c r="C131" s="5">
        <v>3</v>
      </c>
      <c r="D131" s="5" t="s">
        <v>349</v>
      </c>
      <c r="E131" s="5">
        <v>9</v>
      </c>
      <c r="F131" s="5" t="s">
        <v>355</v>
      </c>
      <c r="G131" s="5">
        <v>87.2</v>
      </c>
      <c r="H131" s="5">
        <f t="shared" si="4"/>
        <v>4.4682043309149337</v>
      </c>
      <c r="I131" s="5">
        <v>52.7</v>
      </c>
      <c r="J131" s="5">
        <v>3</v>
      </c>
      <c r="K131" s="5">
        <v>5</v>
      </c>
      <c r="L131" s="6">
        <f t="shared" si="5"/>
        <v>0.6</v>
      </c>
      <c r="M131" s="5" t="s">
        <v>66</v>
      </c>
      <c r="N131" s="5" t="s">
        <v>61</v>
      </c>
      <c r="O131" s="5">
        <v>1</v>
      </c>
      <c r="P131" s="5">
        <v>60000000</v>
      </c>
      <c r="Q131" s="5" t="s">
        <v>377</v>
      </c>
      <c r="R131" s="5" t="s">
        <v>30</v>
      </c>
      <c r="S131" s="5">
        <v>2</v>
      </c>
      <c r="T131" s="5">
        <v>1</v>
      </c>
      <c r="U131" s="5">
        <v>3.2</v>
      </c>
      <c r="V131" s="5" t="s">
        <v>38</v>
      </c>
      <c r="W131" s="5">
        <v>1</v>
      </c>
      <c r="X131" s="5">
        <v>0</v>
      </c>
      <c r="Y131" s="5" t="s">
        <v>378</v>
      </c>
      <c r="AA131" s="9">
        <v>46217</v>
      </c>
    </row>
    <row r="132" spans="1:27" ht="409.5" customHeight="1" x14ac:dyDescent="0.2">
      <c r="A132" s="5">
        <v>131</v>
      </c>
      <c r="B132" s="5">
        <v>330840306</v>
      </c>
      <c r="C132" s="5">
        <v>3</v>
      </c>
      <c r="D132" s="5" t="s">
        <v>349</v>
      </c>
      <c r="E132" s="5">
        <v>3</v>
      </c>
      <c r="F132" s="5" t="s">
        <v>379</v>
      </c>
      <c r="G132" s="5">
        <v>120.9</v>
      </c>
      <c r="H132" s="5">
        <f t="shared" si="4"/>
        <v>4.7949637576207467</v>
      </c>
      <c r="I132" s="5">
        <v>75.5</v>
      </c>
      <c r="J132" s="5">
        <v>2</v>
      </c>
      <c r="K132" s="5">
        <v>6</v>
      </c>
      <c r="L132" s="6">
        <f t="shared" si="5"/>
        <v>0.33333333333333331</v>
      </c>
      <c r="M132" s="5"/>
      <c r="N132" s="5" t="s">
        <v>61</v>
      </c>
      <c r="O132" s="5">
        <v>1</v>
      </c>
      <c r="P132" s="5">
        <v>79000000</v>
      </c>
      <c r="Q132" s="7" t="s">
        <v>380</v>
      </c>
      <c r="R132" s="5" t="s">
        <v>37</v>
      </c>
      <c r="S132" s="5">
        <v>3</v>
      </c>
      <c r="T132" s="5">
        <v>2</v>
      </c>
      <c r="U132" s="5">
        <v>4.2</v>
      </c>
      <c r="V132" s="5" t="s">
        <v>31</v>
      </c>
      <c r="W132" s="5">
        <v>2</v>
      </c>
      <c r="X132" s="5">
        <v>0</v>
      </c>
      <c r="Y132" s="5" t="s">
        <v>381</v>
      </c>
      <c r="AA132" s="9">
        <v>46217</v>
      </c>
    </row>
    <row r="133" spans="1:27" ht="357" customHeight="1" x14ac:dyDescent="0.2">
      <c r="A133" s="5">
        <v>132</v>
      </c>
      <c r="B133" s="5">
        <v>331735411</v>
      </c>
      <c r="C133" s="5">
        <v>2</v>
      </c>
      <c r="D133" s="5" t="s">
        <v>349</v>
      </c>
      <c r="E133" s="5">
        <v>7</v>
      </c>
      <c r="F133" s="5" t="s">
        <v>382</v>
      </c>
      <c r="G133" s="5">
        <v>60.2</v>
      </c>
      <c r="H133" s="5">
        <f t="shared" si="4"/>
        <v>4.0976723523147758</v>
      </c>
      <c r="I133" s="5">
        <v>31.2</v>
      </c>
      <c r="J133" s="5">
        <v>4</v>
      </c>
      <c r="K133" s="5">
        <v>4</v>
      </c>
      <c r="L133" s="6">
        <f t="shared" si="5"/>
        <v>1</v>
      </c>
      <c r="M133" s="5" t="s">
        <v>28</v>
      </c>
      <c r="N133" s="5"/>
      <c r="O133" s="5">
        <v>0</v>
      </c>
      <c r="P133" s="5">
        <v>38000000</v>
      </c>
      <c r="Q133" s="5" t="s">
        <v>383</v>
      </c>
      <c r="R133" s="5" t="s">
        <v>107</v>
      </c>
      <c r="S133" s="5">
        <v>1</v>
      </c>
      <c r="T133" s="5">
        <v>1</v>
      </c>
      <c r="U133" s="5">
        <v>3.6</v>
      </c>
      <c r="V133" s="5" t="s">
        <v>31</v>
      </c>
      <c r="W133" s="5">
        <v>2</v>
      </c>
      <c r="X133" s="5">
        <v>0</v>
      </c>
      <c r="Y133" s="5" t="s">
        <v>384</v>
      </c>
      <c r="AA133" s="9">
        <v>46217</v>
      </c>
    </row>
    <row r="134" spans="1:27" ht="328.5" customHeight="1" x14ac:dyDescent="0.2">
      <c r="A134" s="5">
        <v>133</v>
      </c>
      <c r="B134" s="5">
        <v>329434028</v>
      </c>
      <c r="C134" s="5">
        <v>3</v>
      </c>
      <c r="D134" s="5" t="s">
        <v>349</v>
      </c>
      <c r="E134" s="5">
        <v>5</v>
      </c>
      <c r="F134" s="5" t="s">
        <v>367</v>
      </c>
      <c r="G134" s="5">
        <v>108.9</v>
      </c>
      <c r="H134" s="5">
        <f t="shared" si="4"/>
        <v>4.6904300299389146</v>
      </c>
      <c r="I134" s="5">
        <v>69.7</v>
      </c>
      <c r="J134" s="5">
        <v>2</v>
      </c>
      <c r="K134" s="5">
        <v>6</v>
      </c>
      <c r="L134" s="6">
        <f t="shared" si="5"/>
        <v>0.33333333333333331</v>
      </c>
      <c r="M134" s="5" t="s">
        <v>28</v>
      </c>
      <c r="N134" s="5" t="s">
        <v>61</v>
      </c>
      <c r="O134" s="5">
        <v>1</v>
      </c>
      <c r="P134" s="5">
        <v>85000000</v>
      </c>
      <c r="Q134" s="7" t="s">
        <v>385</v>
      </c>
      <c r="R134" s="5" t="s">
        <v>107</v>
      </c>
      <c r="S134" s="5">
        <v>1</v>
      </c>
      <c r="T134" s="5">
        <v>1</v>
      </c>
      <c r="U134" s="5">
        <v>4</v>
      </c>
      <c r="V134" s="5" t="s">
        <v>31</v>
      </c>
      <c r="W134" s="5">
        <v>2</v>
      </c>
      <c r="X134" s="5">
        <v>0</v>
      </c>
      <c r="Y134" s="5" t="s">
        <v>386</v>
      </c>
      <c r="AA134" s="9">
        <v>46217</v>
      </c>
    </row>
    <row r="135" spans="1:27" ht="384.75" customHeight="1" x14ac:dyDescent="0.2">
      <c r="A135" s="5">
        <v>134</v>
      </c>
      <c r="B135" s="5">
        <v>330600209</v>
      </c>
      <c r="C135" s="5">
        <v>1</v>
      </c>
      <c r="D135" s="5" t="s">
        <v>349</v>
      </c>
      <c r="E135" s="5">
        <v>3</v>
      </c>
      <c r="F135" s="5" t="s">
        <v>387</v>
      </c>
      <c r="G135" s="5">
        <v>34.1</v>
      </c>
      <c r="H135" s="5">
        <f t="shared" si="4"/>
        <v>3.529297384289471</v>
      </c>
      <c r="I135" s="5">
        <v>24</v>
      </c>
      <c r="J135" s="5">
        <v>2</v>
      </c>
      <c r="K135" s="5">
        <v>2</v>
      </c>
      <c r="L135" s="6">
        <f t="shared" si="5"/>
        <v>1</v>
      </c>
      <c r="M135" s="5" t="s">
        <v>28</v>
      </c>
      <c r="N135" s="5" t="s">
        <v>61</v>
      </c>
      <c r="O135" s="5">
        <v>1</v>
      </c>
      <c r="P135" s="5">
        <v>23500000</v>
      </c>
      <c r="Q135" s="7" t="s">
        <v>388</v>
      </c>
      <c r="R135" s="5" t="s">
        <v>107</v>
      </c>
      <c r="S135" s="5">
        <v>1</v>
      </c>
      <c r="T135" s="5">
        <v>1</v>
      </c>
      <c r="U135" s="5">
        <v>4</v>
      </c>
      <c r="V135" s="5" t="s">
        <v>31</v>
      </c>
      <c r="W135" s="5">
        <v>2</v>
      </c>
      <c r="X135" s="5">
        <v>0</v>
      </c>
      <c r="Y135" s="5" t="s">
        <v>389</v>
      </c>
      <c r="AA135" s="9">
        <v>46217</v>
      </c>
    </row>
    <row r="136" spans="1:27" ht="328.5" customHeight="1" x14ac:dyDescent="0.2">
      <c r="A136" s="5">
        <v>135</v>
      </c>
      <c r="B136" s="5">
        <v>296197973</v>
      </c>
      <c r="C136" s="5">
        <v>2</v>
      </c>
      <c r="D136" s="5" t="s">
        <v>349</v>
      </c>
      <c r="E136" s="5">
        <v>12</v>
      </c>
      <c r="F136" s="5" t="s">
        <v>390</v>
      </c>
      <c r="G136" s="5">
        <v>58.6</v>
      </c>
      <c r="H136" s="5">
        <f t="shared" si="4"/>
        <v>4.0707346965829672</v>
      </c>
      <c r="I136" s="5">
        <v>23</v>
      </c>
      <c r="J136" s="5">
        <v>1</v>
      </c>
      <c r="K136" s="5">
        <v>4</v>
      </c>
      <c r="L136" s="6">
        <f t="shared" si="5"/>
        <v>0.25</v>
      </c>
      <c r="M136" s="5" t="s">
        <v>28</v>
      </c>
      <c r="N136" s="5"/>
      <c r="O136" s="5">
        <v>0</v>
      </c>
      <c r="P136" s="5">
        <v>43000000</v>
      </c>
      <c r="Q136" s="7" t="s">
        <v>391</v>
      </c>
      <c r="R136" s="5" t="s">
        <v>37</v>
      </c>
      <c r="S136" s="5">
        <v>3</v>
      </c>
      <c r="T136" s="5">
        <v>1</v>
      </c>
      <c r="U136" s="5">
        <v>3</v>
      </c>
      <c r="V136" s="5" t="s">
        <v>38</v>
      </c>
      <c r="W136" s="5">
        <v>1</v>
      </c>
      <c r="X136" s="5">
        <v>0</v>
      </c>
      <c r="Y136" s="5" t="s">
        <v>392</v>
      </c>
      <c r="AA136" s="9">
        <v>46217</v>
      </c>
    </row>
    <row r="137" spans="1:27" ht="285.75" customHeight="1" x14ac:dyDescent="0.2">
      <c r="A137" s="5">
        <v>136</v>
      </c>
      <c r="B137" s="5">
        <v>326644664</v>
      </c>
      <c r="C137" s="5">
        <v>5</v>
      </c>
      <c r="D137" s="5" t="s">
        <v>349</v>
      </c>
      <c r="E137" s="5">
        <v>5</v>
      </c>
      <c r="F137" s="5" t="s">
        <v>393</v>
      </c>
      <c r="G137" s="5">
        <v>131.19999999999999</v>
      </c>
      <c r="H137" s="5">
        <f t="shared" si="4"/>
        <v>4.8767228765099881</v>
      </c>
      <c r="I137" s="5">
        <v>101</v>
      </c>
      <c r="J137" s="5">
        <v>2</v>
      </c>
      <c r="K137" s="5">
        <v>6</v>
      </c>
      <c r="L137" s="6">
        <f t="shared" si="5"/>
        <v>0.33333333333333331</v>
      </c>
      <c r="M137" s="5" t="s">
        <v>28</v>
      </c>
      <c r="N137" s="5"/>
      <c r="O137" s="5">
        <v>0</v>
      </c>
      <c r="P137" s="5">
        <v>80000000</v>
      </c>
      <c r="Q137" s="7" t="s">
        <v>394</v>
      </c>
      <c r="R137" s="5" t="s">
        <v>30</v>
      </c>
      <c r="S137" s="5">
        <v>2</v>
      </c>
      <c r="T137" s="5">
        <v>2</v>
      </c>
      <c r="U137" s="5">
        <v>3.6</v>
      </c>
      <c r="V137" s="5" t="s">
        <v>31</v>
      </c>
      <c r="W137" s="5">
        <v>2</v>
      </c>
      <c r="X137" s="5">
        <v>0</v>
      </c>
      <c r="Y137" s="5" t="s">
        <v>395</v>
      </c>
      <c r="AA137" s="9">
        <v>46217</v>
      </c>
    </row>
    <row r="138" spans="1:27" ht="357" customHeight="1" x14ac:dyDescent="0.2">
      <c r="A138" s="5">
        <v>137</v>
      </c>
      <c r="B138" s="5">
        <v>331287478</v>
      </c>
      <c r="C138" s="5">
        <v>6</v>
      </c>
      <c r="D138" s="5" t="s">
        <v>349</v>
      </c>
      <c r="E138" s="5">
        <v>3</v>
      </c>
      <c r="F138" s="5" t="s">
        <v>396</v>
      </c>
      <c r="G138" s="5">
        <v>153</v>
      </c>
      <c r="H138" s="5">
        <f t="shared" si="4"/>
        <v>5.0304379213924353</v>
      </c>
      <c r="I138" s="5">
        <v>105</v>
      </c>
      <c r="J138" s="5">
        <v>3</v>
      </c>
      <c r="K138" s="5">
        <v>5</v>
      </c>
      <c r="L138" s="6">
        <f t="shared" si="5"/>
        <v>0.6</v>
      </c>
      <c r="M138" s="5" t="s">
        <v>28</v>
      </c>
      <c r="N138" s="5" t="s">
        <v>61</v>
      </c>
      <c r="O138" s="5">
        <v>1</v>
      </c>
      <c r="P138" s="5">
        <v>91000000</v>
      </c>
      <c r="Q138" s="5" t="s">
        <v>397</v>
      </c>
      <c r="R138" s="5" t="s">
        <v>30</v>
      </c>
      <c r="S138" s="5">
        <v>2</v>
      </c>
      <c r="T138" s="5">
        <v>2</v>
      </c>
      <c r="U138" s="5">
        <v>3.8</v>
      </c>
      <c r="V138" s="5" t="s">
        <v>31</v>
      </c>
      <c r="W138" s="5">
        <v>2</v>
      </c>
      <c r="X138" s="5">
        <v>0</v>
      </c>
      <c r="Y138" s="5" t="s">
        <v>398</v>
      </c>
      <c r="AA138" s="9">
        <v>46217</v>
      </c>
    </row>
    <row r="139" spans="1:27" ht="285.75" customHeight="1" x14ac:dyDescent="0.2">
      <c r="A139" s="5">
        <v>138</v>
      </c>
      <c r="B139" s="5">
        <v>330389120</v>
      </c>
      <c r="C139" s="5">
        <v>4</v>
      </c>
      <c r="D139" s="5" t="s">
        <v>349</v>
      </c>
      <c r="E139" s="5">
        <v>3</v>
      </c>
      <c r="F139" s="5" t="s">
        <v>364</v>
      </c>
      <c r="G139" s="5">
        <v>130</v>
      </c>
      <c r="H139" s="5">
        <f t="shared" si="4"/>
        <v>4.8675344504555822</v>
      </c>
      <c r="I139" s="5">
        <v>86</v>
      </c>
      <c r="J139" s="5">
        <v>6</v>
      </c>
      <c r="K139" s="5">
        <v>8</v>
      </c>
      <c r="L139" s="6">
        <f t="shared" si="5"/>
        <v>0.75</v>
      </c>
      <c r="M139" s="5" t="s">
        <v>66</v>
      </c>
      <c r="N139" s="5" t="s">
        <v>61</v>
      </c>
      <c r="O139" s="5">
        <v>1</v>
      </c>
      <c r="P139" s="5">
        <v>94900000</v>
      </c>
      <c r="Q139" s="7" t="s">
        <v>399</v>
      </c>
      <c r="R139" s="5" t="s">
        <v>107</v>
      </c>
      <c r="S139" s="5">
        <v>1</v>
      </c>
      <c r="T139" s="5">
        <v>1</v>
      </c>
      <c r="U139" s="5">
        <v>3.1</v>
      </c>
      <c r="V139" s="5" t="s">
        <v>38</v>
      </c>
      <c r="W139" s="5">
        <v>1</v>
      </c>
      <c r="X139" s="5">
        <v>0</v>
      </c>
      <c r="Y139" s="5" t="s">
        <v>400</v>
      </c>
      <c r="AA139" s="9">
        <v>46217</v>
      </c>
    </row>
    <row r="140" spans="1:27" ht="150.75" customHeight="1" x14ac:dyDescent="0.2">
      <c r="A140" s="5">
        <v>139</v>
      </c>
      <c r="B140" s="5">
        <v>331332348</v>
      </c>
      <c r="C140" s="5">
        <v>2</v>
      </c>
      <c r="D140" s="5" t="s">
        <v>349</v>
      </c>
      <c r="E140" s="5">
        <v>4</v>
      </c>
      <c r="F140" s="5" t="s">
        <v>374</v>
      </c>
      <c r="G140" s="5">
        <v>44.8</v>
      </c>
      <c r="H140" s="5">
        <f t="shared" si="4"/>
        <v>3.8022081394209395</v>
      </c>
      <c r="I140" s="5">
        <v>30.6</v>
      </c>
      <c r="J140" s="5">
        <v>3</v>
      </c>
      <c r="K140" s="5">
        <v>5</v>
      </c>
      <c r="L140" s="6">
        <f t="shared" si="5"/>
        <v>0.6</v>
      </c>
      <c r="M140" s="5" t="s">
        <v>28</v>
      </c>
      <c r="N140" s="5"/>
      <c r="O140" s="5">
        <v>0</v>
      </c>
      <c r="P140" s="5">
        <v>27900000</v>
      </c>
      <c r="Q140" s="7" t="s">
        <v>401</v>
      </c>
      <c r="R140" s="5" t="s">
        <v>41</v>
      </c>
      <c r="S140" s="5">
        <v>0</v>
      </c>
      <c r="T140" s="5">
        <v>1</v>
      </c>
      <c r="U140" s="5">
        <v>3.2</v>
      </c>
      <c r="V140" s="5" t="s">
        <v>38</v>
      </c>
      <c r="W140" s="5">
        <v>1</v>
      </c>
      <c r="X140" s="5">
        <v>0</v>
      </c>
      <c r="Y140" s="5" t="s">
        <v>402</v>
      </c>
      <c r="AA140" s="9">
        <v>46217</v>
      </c>
    </row>
    <row r="141" spans="1:27" ht="399" customHeight="1" x14ac:dyDescent="0.2">
      <c r="A141" s="5">
        <v>140</v>
      </c>
      <c r="B141" s="5">
        <v>331059844</v>
      </c>
      <c r="C141" s="5">
        <v>3</v>
      </c>
      <c r="D141" s="5" t="s">
        <v>349</v>
      </c>
      <c r="E141" s="5">
        <v>4</v>
      </c>
      <c r="F141" s="5" t="s">
        <v>403</v>
      </c>
      <c r="G141" s="5">
        <v>83</v>
      </c>
      <c r="H141" s="5">
        <f t="shared" si="4"/>
        <v>4.4188406077965983</v>
      </c>
      <c r="I141" s="5">
        <v>52</v>
      </c>
      <c r="J141" s="5">
        <v>2</v>
      </c>
      <c r="K141" s="5">
        <v>5</v>
      </c>
      <c r="L141" s="6">
        <f t="shared" si="5"/>
        <v>0.4</v>
      </c>
      <c r="M141" s="5" t="s">
        <v>28</v>
      </c>
      <c r="N141" s="5" t="s">
        <v>61</v>
      </c>
      <c r="O141" s="5">
        <v>1</v>
      </c>
      <c r="P141" s="5">
        <v>57000000</v>
      </c>
      <c r="Q141" s="7" t="s">
        <v>404</v>
      </c>
      <c r="R141" s="5" t="s">
        <v>30</v>
      </c>
      <c r="S141" s="5">
        <v>2</v>
      </c>
      <c r="T141" s="5">
        <v>3</v>
      </c>
      <c r="U141" s="5"/>
      <c r="V141" s="5"/>
      <c r="W141" s="5"/>
      <c r="X141" s="5">
        <v>0</v>
      </c>
      <c r="Y141" s="5" t="s">
        <v>405</v>
      </c>
      <c r="AA141" s="9">
        <v>46217</v>
      </c>
    </row>
    <row r="142" spans="1:27" ht="409.5" customHeight="1" x14ac:dyDescent="0.2">
      <c r="A142" s="5">
        <v>141</v>
      </c>
      <c r="B142" s="5">
        <v>331361611</v>
      </c>
      <c r="C142" s="5">
        <v>2</v>
      </c>
      <c r="D142" s="5" t="s">
        <v>349</v>
      </c>
      <c r="E142" s="5">
        <v>5</v>
      </c>
      <c r="F142" s="5" t="s">
        <v>367</v>
      </c>
      <c r="G142" s="5">
        <v>69.400000000000006</v>
      </c>
      <c r="H142" s="5">
        <f t="shared" si="4"/>
        <v>4.2398868675127588</v>
      </c>
      <c r="I142" s="5">
        <v>36.6</v>
      </c>
      <c r="J142" s="5">
        <v>5</v>
      </c>
      <c r="K142" s="5">
        <v>6</v>
      </c>
      <c r="L142" s="6">
        <f t="shared" si="5"/>
        <v>0.83333333333333337</v>
      </c>
      <c r="M142" s="5" t="s">
        <v>28</v>
      </c>
      <c r="N142" s="5"/>
      <c r="O142" s="5">
        <v>0</v>
      </c>
      <c r="P142" s="5">
        <v>67000000</v>
      </c>
      <c r="Q142" s="5" t="s">
        <v>406</v>
      </c>
      <c r="R142" s="5" t="s">
        <v>30</v>
      </c>
      <c r="S142" s="5">
        <v>2</v>
      </c>
      <c r="T142" s="5"/>
      <c r="U142" s="5"/>
      <c r="V142" s="5"/>
      <c r="W142" s="5"/>
      <c r="X142" s="5">
        <v>0</v>
      </c>
      <c r="Y142" s="5" t="s">
        <v>407</v>
      </c>
      <c r="AA142" s="9">
        <v>46217</v>
      </c>
    </row>
    <row r="143" spans="1:27" ht="150.75" customHeight="1" x14ac:dyDescent="0.2">
      <c r="A143" s="5">
        <v>142</v>
      </c>
      <c r="B143" s="5">
        <v>329000800</v>
      </c>
      <c r="C143" s="5">
        <v>4</v>
      </c>
      <c r="D143" s="5" t="s">
        <v>349</v>
      </c>
      <c r="E143" s="5">
        <v>4</v>
      </c>
      <c r="F143" s="5" t="s">
        <v>403</v>
      </c>
      <c r="G143" s="5">
        <v>120</v>
      </c>
      <c r="H143" s="5">
        <f t="shared" si="4"/>
        <v>4.7874917427820458</v>
      </c>
      <c r="I143" s="5">
        <v>59</v>
      </c>
      <c r="J143" s="5">
        <v>5</v>
      </c>
      <c r="K143" s="5">
        <v>5</v>
      </c>
      <c r="L143" s="6">
        <f t="shared" si="5"/>
        <v>1</v>
      </c>
      <c r="M143" s="5" t="s">
        <v>28</v>
      </c>
      <c r="N143" s="5" t="s">
        <v>61</v>
      </c>
      <c r="O143" s="5">
        <v>1</v>
      </c>
      <c r="P143" s="5">
        <v>73000000</v>
      </c>
      <c r="Q143" s="7" t="s">
        <v>408</v>
      </c>
      <c r="R143" s="5" t="s">
        <v>107</v>
      </c>
      <c r="S143" s="5">
        <v>1</v>
      </c>
      <c r="T143" s="5">
        <v>2</v>
      </c>
      <c r="U143" s="5">
        <v>3.3</v>
      </c>
      <c r="V143" s="5" t="s">
        <v>38</v>
      </c>
      <c r="W143" s="5">
        <v>1</v>
      </c>
      <c r="X143" s="5">
        <v>0</v>
      </c>
      <c r="Y143" s="5" t="s">
        <v>409</v>
      </c>
      <c r="AA143" s="9">
        <v>46217</v>
      </c>
    </row>
    <row r="144" spans="1:27" ht="315" customHeight="1" x14ac:dyDescent="0.2">
      <c r="A144" s="5">
        <v>143</v>
      </c>
      <c r="B144" s="5">
        <v>330018127</v>
      </c>
      <c r="C144" s="5">
        <v>3</v>
      </c>
      <c r="D144" s="5" t="s">
        <v>349</v>
      </c>
      <c r="E144" s="5">
        <v>5</v>
      </c>
      <c r="F144" s="5" t="s">
        <v>358</v>
      </c>
      <c r="G144" s="5">
        <v>191.8</v>
      </c>
      <c r="H144" s="5">
        <f t="shared" si="4"/>
        <v>5.256453162449338</v>
      </c>
      <c r="I144" s="5"/>
      <c r="J144" s="5">
        <v>1</v>
      </c>
      <c r="K144" s="5">
        <v>4</v>
      </c>
      <c r="L144" s="6">
        <f t="shared" si="5"/>
        <v>0.25</v>
      </c>
      <c r="M144" s="5"/>
      <c r="N144" s="5"/>
      <c r="O144" s="5">
        <v>0</v>
      </c>
      <c r="P144" s="5">
        <v>283000000</v>
      </c>
      <c r="Q144" s="7" t="s">
        <v>410</v>
      </c>
      <c r="R144" s="5" t="s">
        <v>41</v>
      </c>
      <c r="S144" s="5">
        <v>0</v>
      </c>
      <c r="T144" s="5">
        <v>1</v>
      </c>
      <c r="U144" s="5">
        <v>2.6</v>
      </c>
      <c r="V144" s="5" t="s">
        <v>52</v>
      </c>
      <c r="W144" s="5">
        <v>0</v>
      </c>
      <c r="X144" s="5">
        <v>0</v>
      </c>
      <c r="Y144" s="5" t="s">
        <v>411</v>
      </c>
      <c r="AA144" s="9">
        <v>46217</v>
      </c>
    </row>
    <row r="145" spans="1:27" ht="285.75" customHeight="1" x14ac:dyDescent="0.2">
      <c r="A145" s="5">
        <v>144</v>
      </c>
      <c r="B145" s="5">
        <v>329372885</v>
      </c>
      <c r="C145" s="5">
        <v>4</v>
      </c>
      <c r="D145" s="5" t="s">
        <v>349</v>
      </c>
      <c r="E145" s="5">
        <v>5</v>
      </c>
      <c r="F145" s="5" t="s">
        <v>358</v>
      </c>
      <c r="G145" s="5">
        <v>252.4</v>
      </c>
      <c r="H145" s="5">
        <f t="shared" si="4"/>
        <v>5.5310151306670585</v>
      </c>
      <c r="I145" s="5"/>
      <c r="J145" s="5">
        <v>1</v>
      </c>
      <c r="K145" s="5">
        <v>4</v>
      </c>
      <c r="L145" s="6">
        <f t="shared" si="5"/>
        <v>0.25</v>
      </c>
      <c r="M145" s="5"/>
      <c r="N145" s="5"/>
      <c r="O145" s="5">
        <v>0</v>
      </c>
      <c r="P145" s="5">
        <v>372000000</v>
      </c>
      <c r="Q145" s="7" t="s">
        <v>412</v>
      </c>
      <c r="R145" s="5" t="s">
        <v>41</v>
      </c>
      <c r="S145" s="5">
        <v>0</v>
      </c>
      <c r="T145" s="5"/>
      <c r="U145" s="5">
        <v>2.6</v>
      </c>
      <c r="V145" s="5" t="s">
        <v>52</v>
      </c>
      <c r="W145" s="5">
        <v>0</v>
      </c>
      <c r="X145" s="5">
        <v>0</v>
      </c>
      <c r="Y145" s="5" t="s">
        <v>413</v>
      </c>
      <c r="AA145" s="9">
        <v>46217</v>
      </c>
    </row>
    <row r="146" spans="1:27" ht="300.75" customHeight="1" x14ac:dyDescent="0.2">
      <c r="A146" s="5">
        <v>145</v>
      </c>
      <c r="B146" s="5">
        <v>331806106</v>
      </c>
      <c r="C146" s="5">
        <v>3</v>
      </c>
      <c r="D146" s="5" t="s">
        <v>349</v>
      </c>
      <c r="E146" s="5">
        <v>6</v>
      </c>
      <c r="F146" s="5" t="s">
        <v>414</v>
      </c>
      <c r="G146" s="5">
        <v>71.599999999999994</v>
      </c>
      <c r="H146" s="5">
        <f t="shared" si="4"/>
        <v>4.2710950739665998</v>
      </c>
      <c r="I146" s="5"/>
      <c r="J146" s="5">
        <v>2</v>
      </c>
      <c r="K146" s="5">
        <v>5</v>
      </c>
      <c r="L146" s="6">
        <f t="shared" si="5"/>
        <v>0.4</v>
      </c>
      <c r="M146" s="5"/>
      <c r="N146" s="5" t="s">
        <v>61</v>
      </c>
      <c r="O146" s="5">
        <v>1</v>
      </c>
      <c r="P146" s="5">
        <v>45999999</v>
      </c>
      <c r="Q146" s="7" t="s">
        <v>415</v>
      </c>
      <c r="R146" s="5" t="s">
        <v>107</v>
      </c>
      <c r="S146" s="5">
        <v>1</v>
      </c>
      <c r="T146" s="5">
        <v>1</v>
      </c>
      <c r="U146" s="5">
        <v>3</v>
      </c>
      <c r="V146" s="5" t="s">
        <v>38</v>
      </c>
      <c r="W146" s="5">
        <v>1</v>
      </c>
      <c r="X146" s="5">
        <v>0</v>
      </c>
      <c r="Y146" s="5" t="s">
        <v>416</v>
      </c>
      <c r="AA146" s="9">
        <v>46217</v>
      </c>
    </row>
    <row r="147" spans="1:27" ht="195.75" customHeight="1" x14ac:dyDescent="0.2">
      <c r="A147" s="5">
        <v>146</v>
      </c>
      <c r="B147" s="5">
        <v>325739845</v>
      </c>
      <c r="C147" s="5">
        <v>3</v>
      </c>
      <c r="D147" s="5" t="s">
        <v>349</v>
      </c>
      <c r="E147" s="5">
        <v>10</v>
      </c>
      <c r="F147" s="5" t="s">
        <v>417</v>
      </c>
      <c r="G147" s="5">
        <v>69.099999999999994</v>
      </c>
      <c r="H147" s="5">
        <f t="shared" si="4"/>
        <v>4.2355547307736243</v>
      </c>
      <c r="I147" s="5">
        <v>48.8</v>
      </c>
      <c r="J147" s="5">
        <v>6</v>
      </c>
      <c r="K147" s="5">
        <v>6</v>
      </c>
      <c r="L147" s="6">
        <f t="shared" si="5"/>
        <v>1</v>
      </c>
      <c r="M147" s="5"/>
      <c r="N147" s="5" t="s">
        <v>61</v>
      </c>
      <c r="O147" s="5">
        <v>1</v>
      </c>
      <c r="P147" s="5">
        <v>39000000</v>
      </c>
      <c r="Q147" s="7" t="s">
        <v>418</v>
      </c>
      <c r="R147" s="5" t="s">
        <v>107</v>
      </c>
      <c r="S147" s="5">
        <v>1</v>
      </c>
      <c r="T147" s="5">
        <v>1</v>
      </c>
      <c r="U147" s="5">
        <v>3.3</v>
      </c>
      <c r="V147" s="5" t="s">
        <v>38</v>
      </c>
      <c r="W147" s="5">
        <v>1</v>
      </c>
      <c r="X147" s="5">
        <v>0</v>
      </c>
      <c r="Y147" s="5" t="s">
        <v>419</v>
      </c>
      <c r="AA147" s="9">
        <v>46217</v>
      </c>
    </row>
    <row r="148" spans="1:27" ht="315" customHeight="1" x14ac:dyDescent="0.2">
      <c r="A148" s="5">
        <v>147</v>
      </c>
      <c r="B148" s="5">
        <v>284509334</v>
      </c>
      <c r="C148" s="5">
        <v>3</v>
      </c>
      <c r="D148" s="5" t="s">
        <v>349</v>
      </c>
      <c r="E148" s="5">
        <v>5</v>
      </c>
      <c r="F148" s="5" t="s">
        <v>367</v>
      </c>
      <c r="G148" s="5">
        <v>72</v>
      </c>
      <c r="H148" s="5">
        <f t="shared" si="4"/>
        <v>4.2766661190160553</v>
      </c>
      <c r="I148" s="5">
        <v>30</v>
      </c>
      <c r="J148" s="5">
        <v>5</v>
      </c>
      <c r="K148" s="5">
        <v>6</v>
      </c>
      <c r="L148" s="6">
        <f t="shared" si="5"/>
        <v>0.83333333333333337</v>
      </c>
      <c r="M148" s="5" t="s">
        <v>28</v>
      </c>
      <c r="N148" s="5" t="s">
        <v>61</v>
      </c>
      <c r="O148" s="5">
        <v>1</v>
      </c>
      <c r="P148" s="5">
        <v>70000000</v>
      </c>
      <c r="Q148" s="7" t="s">
        <v>420</v>
      </c>
      <c r="R148" s="5" t="s">
        <v>30</v>
      </c>
      <c r="S148" s="5">
        <v>2</v>
      </c>
      <c r="T148" s="5">
        <v>1</v>
      </c>
      <c r="U148" s="5">
        <v>4</v>
      </c>
      <c r="V148" s="5" t="s">
        <v>31</v>
      </c>
      <c r="W148" s="5">
        <v>2</v>
      </c>
      <c r="X148" s="5">
        <v>0</v>
      </c>
      <c r="Y148" s="5" t="s">
        <v>421</v>
      </c>
      <c r="AA148" s="9">
        <v>46217</v>
      </c>
    </row>
    <row r="149" spans="1:27" ht="285.75" customHeight="1" x14ac:dyDescent="0.2">
      <c r="A149" s="5">
        <v>148</v>
      </c>
      <c r="B149" s="5">
        <v>329486699</v>
      </c>
      <c r="C149" s="5">
        <v>5</v>
      </c>
      <c r="D149" s="5" t="s">
        <v>349</v>
      </c>
      <c r="E149" s="5">
        <v>3</v>
      </c>
      <c r="F149" s="5" t="s">
        <v>379</v>
      </c>
      <c r="G149" s="5">
        <v>258.60000000000002</v>
      </c>
      <c r="H149" s="5">
        <f t="shared" si="4"/>
        <v>5.5552824663377569</v>
      </c>
      <c r="I149" s="5">
        <v>172</v>
      </c>
      <c r="J149" s="5">
        <v>4</v>
      </c>
      <c r="K149" s="5">
        <v>6</v>
      </c>
      <c r="L149" s="6">
        <f t="shared" si="5"/>
        <v>0.66666666666666663</v>
      </c>
      <c r="M149" s="5"/>
      <c r="N149" s="5" t="s">
        <v>61</v>
      </c>
      <c r="O149" s="5">
        <v>1</v>
      </c>
      <c r="P149" s="5">
        <v>277000000</v>
      </c>
      <c r="Q149" s="7" t="s">
        <v>422</v>
      </c>
      <c r="R149" s="5" t="s">
        <v>37</v>
      </c>
      <c r="S149" s="5">
        <v>3</v>
      </c>
      <c r="T149" s="5">
        <v>3</v>
      </c>
      <c r="U149" s="5">
        <v>3.5</v>
      </c>
      <c r="V149" s="5" t="s">
        <v>38</v>
      </c>
      <c r="W149" s="5">
        <v>1</v>
      </c>
      <c r="X149" s="5">
        <v>0</v>
      </c>
      <c r="Y149" s="5" t="s">
        <v>423</v>
      </c>
      <c r="AA149" s="9">
        <v>46217</v>
      </c>
    </row>
    <row r="150" spans="1:27" ht="135.75" customHeight="1" x14ac:dyDescent="0.2">
      <c r="A150" s="5">
        <v>149</v>
      </c>
      <c r="B150" s="5">
        <v>331258225</v>
      </c>
      <c r="C150" s="5">
        <v>4</v>
      </c>
      <c r="D150" s="5" t="s">
        <v>424</v>
      </c>
      <c r="E150" s="5">
        <v>14</v>
      </c>
      <c r="F150" s="5" t="s">
        <v>425</v>
      </c>
      <c r="G150" s="5">
        <v>85</v>
      </c>
      <c r="H150" s="5">
        <f t="shared" si="4"/>
        <v>4.4426512564903167</v>
      </c>
      <c r="I150" s="5">
        <v>57</v>
      </c>
      <c r="J150" s="5">
        <v>2</v>
      </c>
      <c r="K150" s="5">
        <v>3</v>
      </c>
      <c r="L150" s="6">
        <f t="shared" si="5"/>
        <v>0.66666666666666663</v>
      </c>
      <c r="M150" s="5"/>
      <c r="N150" s="5" t="s">
        <v>61</v>
      </c>
      <c r="O150" s="5">
        <v>1</v>
      </c>
      <c r="P150" s="5">
        <v>42500000</v>
      </c>
      <c r="Q150" s="7" t="s">
        <v>426</v>
      </c>
      <c r="R150" s="5" t="s">
        <v>30</v>
      </c>
      <c r="S150" s="5">
        <v>2</v>
      </c>
      <c r="T150" s="5">
        <v>2</v>
      </c>
      <c r="U150" s="5"/>
      <c r="V150" s="5"/>
      <c r="W150" s="5"/>
      <c r="X150" s="5">
        <v>0</v>
      </c>
      <c r="Y150" s="5" t="s">
        <v>427</v>
      </c>
      <c r="AA150" s="9">
        <v>46217</v>
      </c>
    </row>
    <row r="151" spans="1:27" ht="342.75" customHeight="1" x14ac:dyDescent="0.2">
      <c r="A151" s="5">
        <v>150</v>
      </c>
      <c r="B151" s="5">
        <v>331934309</v>
      </c>
      <c r="C151" s="5">
        <v>0</v>
      </c>
      <c r="D151" s="5" t="s">
        <v>349</v>
      </c>
      <c r="E151" s="5">
        <v>3</v>
      </c>
      <c r="F151" s="5" t="s">
        <v>387</v>
      </c>
      <c r="G151" s="5">
        <v>15.3</v>
      </c>
      <c r="H151" s="5">
        <f t="shared" si="4"/>
        <v>2.7278528283983898</v>
      </c>
      <c r="I151" s="5">
        <v>15.3</v>
      </c>
      <c r="J151" s="5">
        <v>2</v>
      </c>
      <c r="K151" s="5">
        <v>3</v>
      </c>
      <c r="L151" s="6">
        <f t="shared" si="5"/>
        <v>0.66666666666666663</v>
      </c>
      <c r="M151" s="5"/>
      <c r="N151" s="5" t="s">
        <v>61</v>
      </c>
      <c r="O151" s="5">
        <v>1</v>
      </c>
      <c r="P151" s="5">
        <v>7497000</v>
      </c>
      <c r="Q151" s="5" t="s">
        <v>428</v>
      </c>
      <c r="R151" s="5" t="s">
        <v>107</v>
      </c>
      <c r="S151" s="5">
        <v>1</v>
      </c>
      <c r="T151" s="5"/>
      <c r="U151" s="5"/>
      <c r="V151" s="5"/>
      <c r="W151" s="5"/>
      <c r="X151" s="5">
        <v>0</v>
      </c>
      <c r="Y151" s="5" t="s">
        <v>429</v>
      </c>
      <c r="AA151" s="9">
        <v>46217</v>
      </c>
    </row>
    <row r="152" spans="1:27" ht="315" customHeight="1" x14ac:dyDescent="0.2">
      <c r="A152" s="5">
        <v>151</v>
      </c>
      <c r="B152" s="5">
        <v>324114459</v>
      </c>
      <c r="C152" s="5">
        <v>3</v>
      </c>
      <c r="D152" s="5" t="s">
        <v>349</v>
      </c>
      <c r="E152" s="5">
        <v>6</v>
      </c>
      <c r="F152" s="5" t="s">
        <v>430</v>
      </c>
      <c r="G152" s="5">
        <v>179</v>
      </c>
      <c r="H152" s="5">
        <f t="shared" si="4"/>
        <v>5.1873858058407549</v>
      </c>
      <c r="I152" s="5">
        <v>135</v>
      </c>
      <c r="J152" s="5">
        <v>1</v>
      </c>
      <c r="K152" s="5">
        <v>2</v>
      </c>
      <c r="L152" s="6">
        <f t="shared" si="5"/>
        <v>0.5</v>
      </c>
      <c r="M152" s="5" t="s">
        <v>28</v>
      </c>
      <c r="N152" s="5"/>
      <c r="O152" s="5">
        <v>0</v>
      </c>
      <c r="P152" s="5">
        <v>270000000</v>
      </c>
      <c r="Q152" s="7" t="s">
        <v>431</v>
      </c>
      <c r="R152" s="5"/>
      <c r="S152" s="5"/>
      <c r="T152" s="5"/>
      <c r="U152" s="5">
        <v>3</v>
      </c>
      <c r="V152" s="5" t="s">
        <v>38</v>
      </c>
      <c r="W152" s="5">
        <v>1</v>
      </c>
      <c r="X152" s="5">
        <v>0</v>
      </c>
      <c r="Y152" s="5" t="s">
        <v>432</v>
      </c>
      <c r="AA152" s="10">
        <v>46217</v>
      </c>
    </row>
    <row r="153" spans="1:27" ht="409.5" customHeight="1" x14ac:dyDescent="0.2">
      <c r="A153" s="5">
        <v>152</v>
      </c>
      <c r="B153" s="5">
        <v>333437490</v>
      </c>
      <c r="C153" s="5">
        <v>4</v>
      </c>
      <c r="D153" s="5" t="s">
        <v>54</v>
      </c>
      <c r="E153" s="5">
        <v>11</v>
      </c>
      <c r="F153" s="5" t="s">
        <v>433</v>
      </c>
      <c r="G153" s="5">
        <v>173.3</v>
      </c>
      <c r="H153" s="5">
        <f t="shared" si="4"/>
        <v>5.1550241967215609</v>
      </c>
      <c r="I153" s="5"/>
      <c r="J153" s="5">
        <v>8</v>
      </c>
      <c r="K153" s="5">
        <v>12</v>
      </c>
      <c r="L153" s="6">
        <f t="shared" si="5"/>
        <v>0.66666666666666663</v>
      </c>
      <c r="M153" s="5" t="s">
        <v>28</v>
      </c>
      <c r="N153" s="5"/>
      <c r="O153" s="5">
        <v>0</v>
      </c>
      <c r="P153" s="5">
        <v>250000000</v>
      </c>
      <c r="Q153" s="7" t="s">
        <v>434</v>
      </c>
      <c r="R153" s="5" t="s">
        <v>37</v>
      </c>
      <c r="S153" s="5">
        <v>3</v>
      </c>
      <c r="T153" s="5">
        <v>3</v>
      </c>
      <c r="U153" s="5">
        <v>3</v>
      </c>
      <c r="V153" s="5" t="s">
        <v>38</v>
      </c>
      <c r="W153" s="5">
        <v>1</v>
      </c>
      <c r="X153" s="5">
        <v>1</v>
      </c>
      <c r="Y153" s="5" t="s">
        <v>435</v>
      </c>
      <c r="AA153" s="8">
        <v>46312</v>
      </c>
    </row>
    <row r="154" spans="1:27" ht="315" customHeight="1" x14ac:dyDescent="0.2">
      <c r="A154" s="5">
        <v>153</v>
      </c>
      <c r="B154" s="5">
        <v>334575212</v>
      </c>
      <c r="C154" s="5">
        <v>5</v>
      </c>
      <c r="D154" s="5" t="s">
        <v>64</v>
      </c>
      <c r="E154" s="5">
        <v>7</v>
      </c>
      <c r="F154" s="5" t="s">
        <v>151</v>
      </c>
      <c r="G154" s="5">
        <v>413</v>
      </c>
      <c r="H154" s="5">
        <f t="shared" si="4"/>
        <v>6.0234475929610332</v>
      </c>
      <c r="I154" s="5"/>
      <c r="J154" s="5">
        <v>5</v>
      </c>
      <c r="K154" s="5">
        <v>12</v>
      </c>
      <c r="L154" s="6">
        <f t="shared" si="5"/>
        <v>0.41666666666666669</v>
      </c>
      <c r="M154" s="5"/>
      <c r="N154" s="5" t="s">
        <v>35</v>
      </c>
      <c r="O154" s="5">
        <v>2</v>
      </c>
      <c r="P154" s="5">
        <v>790000000</v>
      </c>
      <c r="Q154" s="7" t="s">
        <v>152</v>
      </c>
      <c r="R154" s="5" t="s">
        <v>37</v>
      </c>
      <c r="S154" s="5">
        <v>3</v>
      </c>
      <c r="T154" s="5">
        <v>8</v>
      </c>
      <c r="U154" s="5">
        <v>3.2</v>
      </c>
      <c r="V154" s="5" t="s">
        <v>38</v>
      </c>
      <c r="W154" s="5">
        <v>1</v>
      </c>
      <c r="X154" s="5">
        <v>1</v>
      </c>
      <c r="Y154" s="5" t="s">
        <v>436</v>
      </c>
      <c r="AA154" s="8">
        <v>46312</v>
      </c>
    </row>
    <row r="155" spans="1:27" ht="300.75" customHeight="1" x14ac:dyDescent="0.2">
      <c r="A155" s="5">
        <v>154</v>
      </c>
      <c r="B155" s="5">
        <v>328450804</v>
      </c>
      <c r="C155" s="5">
        <v>6</v>
      </c>
      <c r="D155" s="5" t="s">
        <v>26</v>
      </c>
      <c r="E155" s="5">
        <v>11</v>
      </c>
      <c r="F155" s="5" t="s">
        <v>437</v>
      </c>
      <c r="G155" s="5">
        <v>365.5</v>
      </c>
      <c r="H155" s="5">
        <f t="shared" si="4"/>
        <v>5.9012662791898336</v>
      </c>
      <c r="I155" s="5"/>
      <c r="J155" s="5">
        <v>4</v>
      </c>
      <c r="K155" s="5">
        <v>4</v>
      </c>
      <c r="L155" s="6">
        <f t="shared" si="5"/>
        <v>1</v>
      </c>
      <c r="M155" s="5"/>
      <c r="N155" s="5" t="s">
        <v>61</v>
      </c>
      <c r="O155" s="5">
        <v>1</v>
      </c>
      <c r="P155" s="5">
        <v>410000000</v>
      </c>
      <c r="Q155" s="7" t="s">
        <v>438</v>
      </c>
      <c r="R155" s="5" t="s">
        <v>37</v>
      </c>
      <c r="S155" s="5">
        <v>3</v>
      </c>
      <c r="T155" s="5">
        <v>8</v>
      </c>
      <c r="U155" s="5">
        <v>3</v>
      </c>
      <c r="V155" s="5" t="s">
        <v>38</v>
      </c>
      <c r="W155" s="5">
        <v>1</v>
      </c>
      <c r="X155" s="5">
        <v>1</v>
      </c>
      <c r="Y155" s="5" t="s">
        <v>439</v>
      </c>
      <c r="AA155" s="8">
        <v>46312</v>
      </c>
    </row>
    <row r="156" spans="1:27" ht="270.75" customHeight="1" x14ac:dyDescent="0.2">
      <c r="A156" s="5">
        <v>155</v>
      </c>
      <c r="B156" s="5">
        <v>334643146</v>
      </c>
      <c r="C156" s="5">
        <v>3</v>
      </c>
      <c r="D156" s="5" t="s">
        <v>54</v>
      </c>
      <c r="E156" s="5">
        <v>13</v>
      </c>
      <c r="F156" s="5" t="s">
        <v>275</v>
      </c>
      <c r="G156" s="5">
        <v>80</v>
      </c>
      <c r="H156" s="5">
        <f t="shared" si="4"/>
        <v>4.3820266346738812</v>
      </c>
      <c r="I156" s="5">
        <v>65</v>
      </c>
      <c r="J156" s="5">
        <v>5</v>
      </c>
      <c r="K156" s="5">
        <v>9</v>
      </c>
      <c r="L156" s="6">
        <f t="shared" si="5"/>
        <v>0.55555555555555558</v>
      </c>
      <c r="M156" s="5" t="s">
        <v>28</v>
      </c>
      <c r="N156" s="5" t="s">
        <v>61</v>
      </c>
      <c r="O156" s="5">
        <v>1</v>
      </c>
      <c r="P156" s="5">
        <v>80000000</v>
      </c>
      <c r="Q156" s="7" t="s">
        <v>440</v>
      </c>
      <c r="R156" s="5" t="s">
        <v>37</v>
      </c>
      <c r="S156" s="5">
        <v>3</v>
      </c>
      <c r="T156" s="5">
        <v>1</v>
      </c>
      <c r="U156" s="5">
        <v>2.8</v>
      </c>
      <c r="V156" s="5" t="s">
        <v>52</v>
      </c>
      <c r="W156" s="5">
        <v>0</v>
      </c>
      <c r="X156" s="5">
        <v>1</v>
      </c>
      <c r="Y156" s="5" t="s">
        <v>441</v>
      </c>
      <c r="AA156" s="8">
        <v>46312</v>
      </c>
    </row>
    <row r="157" spans="1:27" ht="165.75" customHeight="1" x14ac:dyDescent="0.2">
      <c r="A157" s="5">
        <v>156</v>
      </c>
      <c r="B157" s="5">
        <v>334577905</v>
      </c>
      <c r="C157" s="5">
        <v>2</v>
      </c>
      <c r="D157" s="5" t="s">
        <v>54</v>
      </c>
      <c r="E157" s="5">
        <v>9</v>
      </c>
      <c r="F157" s="5" t="s">
        <v>304</v>
      </c>
      <c r="G157" s="5">
        <v>55.6</v>
      </c>
      <c r="H157" s="5">
        <f t="shared" si="4"/>
        <v>4.0181832012565364</v>
      </c>
      <c r="I157" s="5">
        <v>43.1</v>
      </c>
      <c r="J157" s="5">
        <v>6</v>
      </c>
      <c r="K157" s="5">
        <v>6</v>
      </c>
      <c r="L157" s="6">
        <f t="shared" si="5"/>
        <v>1</v>
      </c>
      <c r="M157" s="5" t="s">
        <v>28</v>
      </c>
      <c r="N157" s="5" t="s">
        <v>61</v>
      </c>
      <c r="O157" s="5">
        <v>1</v>
      </c>
      <c r="P157" s="5">
        <v>53000000</v>
      </c>
      <c r="Q157" s="7" t="s">
        <v>442</v>
      </c>
      <c r="R157" s="5" t="s">
        <v>37</v>
      </c>
      <c r="S157" s="5">
        <v>3</v>
      </c>
      <c r="T157" s="5">
        <v>3</v>
      </c>
      <c r="U157" s="5">
        <v>3.3</v>
      </c>
      <c r="V157" s="5" t="s">
        <v>38</v>
      </c>
      <c r="W157" s="5">
        <v>1</v>
      </c>
      <c r="X157" s="5">
        <v>1</v>
      </c>
      <c r="Y157" s="5" t="s">
        <v>443</v>
      </c>
      <c r="AA157" s="8">
        <v>46312</v>
      </c>
    </row>
    <row r="158" spans="1:27" ht="384.75" customHeight="1" x14ac:dyDescent="0.2">
      <c r="A158" s="5">
        <v>157</v>
      </c>
      <c r="B158" s="5">
        <v>333483562</v>
      </c>
      <c r="C158" s="5">
        <v>6</v>
      </c>
      <c r="D158" s="5" t="s">
        <v>54</v>
      </c>
      <c r="E158" s="5">
        <v>9</v>
      </c>
      <c r="F158" s="5" t="s">
        <v>444</v>
      </c>
      <c r="G158" s="5">
        <v>497</v>
      </c>
      <c r="H158" s="5">
        <f t="shared" si="4"/>
        <v>6.2085900260966289</v>
      </c>
      <c r="I158" s="5">
        <v>330</v>
      </c>
      <c r="J158" s="5">
        <v>3</v>
      </c>
      <c r="K158" s="5">
        <v>5</v>
      </c>
      <c r="L158" s="6">
        <f t="shared" si="5"/>
        <v>0.6</v>
      </c>
      <c r="M158" s="5" t="s">
        <v>44</v>
      </c>
      <c r="N158" s="5" t="s">
        <v>35</v>
      </c>
      <c r="O158" s="5">
        <v>2</v>
      </c>
      <c r="P158" s="5">
        <v>1366750000</v>
      </c>
      <c r="Q158" s="7" t="s">
        <v>445</v>
      </c>
      <c r="R158" s="5" t="s">
        <v>41</v>
      </c>
      <c r="S158" s="5">
        <v>0</v>
      </c>
      <c r="T158" s="5">
        <v>9</v>
      </c>
      <c r="U158" s="5">
        <v>3.5</v>
      </c>
      <c r="V158" s="5" t="s">
        <v>38</v>
      </c>
      <c r="W158" s="5">
        <v>1</v>
      </c>
      <c r="X158" s="5">
        <v>1</v>
      </c>
      <c r="Y158" s="5" t="s">
        <v>446</v>
      </c>
      <c r="AA158" s="8">
        <v>46312</v>
      </c>
    </row>
    <row r="159" spans="1:27" ht="409.5" customHeight="1" x14ac:dyDescent="0.2">
      <c r="A159" s="5">
        <v>158</v>
      </c>
      <c r="B159" s="5">
        <v>333483543</v>
      </c>
      <c r="C159" s="5">
        <v>6</v>
      </c>
      <c r="D159" s="5" t="s">
        <v>54</v>
      </c>
      <c r="E159" s="5">
        <v>9</v>
      </c>
      <c r="F159" s="5" t="s">
        <v>444</v>
      </c>
      <c r="G159" s="5">
        <v>312</v>
      </c>
      <c r="H159" s="5">
        <f t="shared" si="4"/>
        <v>5.7430031878094825</v>
      </c>
      <c r="I159" s="5">
        <v>200</v>
      </c>
      <c r="J159" s="5">
        <v>3</v>
      </c>
      <c r="K159" s="5">
        <v>4</v>
      </c>
      <c r="L159" s="6">
        <f t="shared" si="5"/>
        <v>0.75</v>
      </c>
      <c r="M159" s="5" t="s">
        <v>44</v>
      </c>
      <c r="N159" s="5" t="s">
        <v>35</v>
      </c>
      <c r="O159" s="5">
        <v>2</v>
      </c>
      <c r="P159" s="5">
        <v>858000000</v>
      </c>
      <c r="Q159" s="7" t="s">
        <v>447</v>
      </c>
      <c r="R159" s="5" t="s">
        <v>41</v>
      </c>
      <c r="S159" s="5">
        <v>0</v>
      </c>
      <c r="T159" s="5">
        <v>6</v>
      </c>
      <c r="U159" s="5">
        <v>3.5</v>
      </c>
      <c r="V159" s="5" t="s">
        <v>38</v>
      </c>
      <c r="W159" s="5">
        <v>1</v>
      </c>
      <c r="X159" s="5">
        <v>1</v>
      </c>
      <c r="Y159" s="5" t="s">
        <v>448</v>
      </c>
      <c r="AA159" s="8">
        <v>46312</v>
      </c>
    </row>
    <row r="160" spans="1:27" ht="210.75" customHeight="1" x14ac:dyDescent="0.2">
      <c r="A160" s="5">
        <v>159</v>
      </c>
      <c r="B160" s="5">
        <v>334003883</v>
      </c>
      <c r="C160" s="5">
        <v>5</v>
      </c>
      <c r="D160" s="5" t="s">
        <v>26</v>
      </c>
      <c r="E160" s="5">
        <v>14</v>
      </c>
      <c r="F160" s="5" t="s">
        <v>34</v>
      </c>
      <c r="G160" s="5">
        <v>332.2</v>
      </c>
      <c r="H160" s="5">
        <f t="shared" si="4"/>
        <v>5.8057371971791945</v>
      </c>
      <c r="I160" s="5"/>
      <c r="J160" s="5">
        <v>1</v>
      </c>
      <c r="K160" s="5">
        <v>9</v>
      </c>
      <c r="L160" s="6">
        <f t="shared" si="5"/>
        <v>0.1111111111111111</v>
      </c>
      <c r="M160" s="5" t="s">
        <v>57</v>
      </c>
      <c r="N160" s="5" t="s">
        <v>35</v>
      </c>
      <c r="O160" s="5">
        <v>2</v>
      </c>
      <c r="P160" s="5">
        <v>950000000</v>
      </c>
      <c r="Q160" s="7" t="s">
        <v>449</v>
      </c>
      <c r="R160" s="5" t="s">
        <v>37</v>
      </c>
      <c r="S160" s="5">
        <v>3</v>
      </c>
      <c r="T160" s="5">
        <v>4</v>
      </c>
      <c r="U160" s="5">
        <v>3.2</v>
      </c>
      <c r="V160" s="5" t="s">
        <v>38</v>
      </c>
      <c r="W160" s="5">
        <v>1</v>
      </c>
      <c r="X160" s="5">
        <v>1</v>
      </c>
      <c r="Y160" s="5" t="s">
        <v>450</v>
      </c>
      <c r="AA160" s="8">
        <v>46312</v>
      </c>
    </row>
    <row r="161" spans="1:27" ht="328.5" customHeight="1" x14ac:dyDescent="0.2">
      <c r="A161" s="5">
        <v>160</v>
      </c>
      <c r="B161" s="5">
        <v>331394711</v>
      </c>
      <c r="C161" s="5">
        <v>3</v>
      </c>
      <c r="D161" s="5" t="s">
        <v>26</v>
      </c>
      <c r="E161" s="5">
        <v>13</v>
      </c>
      <c r="F161" s="5" t="s">
        <v>451</v>
      </c>
      <c r="G161" s="5">
        <v>137.4</v>
      </c>
      <c r="H161" s="5">
        <f t="shared" si="4"/>
        <v>4.9228963797882486</v>
      </c>
      <c r="I161" s="5">
        <v>100</v>
      </c>
      <c r="J161" s="5">
        <v>3</v>
      </c>
      <c r="K161" s="5">
        <v>9</v>
      </c>
      <c r="L161" s="6">
        <f t="shared" si="5"/>
        <v>0.33333333333333331</v>
      </c>
      <c r="M161" s="5" t="s">
        <v>28</v>
      </c>
      <c r="N161" s="5" t="s">
        <v>61</v>
      </c>
      <c r="O161" s="5">
        <v>1</v>
      </c>
      <c r="P161" s="5">
        <v>215000000</v>
      </c>
      <c r="Q161" s="7" t="s">
        <v>452</v>
      </c>
      <c r="R161" s="5" t="s">
        <v>37</v>
      </c>
      <c r="S161" s="5">
        <v>3</v>
      </c>
      <c r="T161" s="5">
        <v>4</v>
      </c>
      <c r="U161" s="5"/>
      <c r="V161" s="5"/>
      <c r="W161" s="5"/>
      <c r="X161" s="5">
        <v>1</v>
      </c>
      <c r="Y161" s="5" t="s">
        <v>453</v>
      </c>
      <c r="AA161" s="8">
        <v>46312</v>
      </c>
    </row>
    <row r="162" spans="1:27" ht="90.75" customHeight="1" x14ac:dyDescent="0.2">
      <c r="A162" s="5">
        <v>161</v>
      </c>
      <c r="B162" s="5">
        <v>333337689</v>
      </c>
      <c r="C162" s="5">
        <v>5</v>
      </c>
      <c r="D162" s="5" t="s">
        <v>33</v>
      </c>
      <c r="E162" s="5">
        <v>10</v>
      </c>
      <c r="F162" s="5" t="s">
        <v>70</v>
      </c>
      <c r="G162" s="5">
        <v>195.8</v>
      </c>
      <c r="H162" s="5">
        <f t="shared" si="4"/>
        <v>5.2770937300964098</v>
      </c>
      <c r="I162" s="5"/>
      <c r="J162" s="5">
        <v>3</v>
      </c>
      <c r="K162" s="5">
        <v>6</v>
      </c>
      <c r="L162" s="6">
        <f t="shared" si="5"/>
        <v>0.5</v>
      </c>
      <c r="M162" s="5" t="s">
        <v>28</v>
      </c>
      <c r="N162" s="5" t="s">
        <v>61</v>
      </c>
      <c r="O162" s="5">
        <v>1</v>
      </c>
      <c r="P162" s="5">
        <v>180000000</v>
      </c>
      <c r="Q162" s="7" t="s">
        <v>71</v>
      </c>
      <c r="R162" s="5" t="s">
        <v>30</v>
      </c>
      <c r="S162" s="5">
        <v>2</v>
      </c>
      <c r="T162" s="5">
        <v>2</v>
      </c>
      <c r="U162" s="5"/>
      <c r="V162" s="5"/>
      <c r="W162" s="5"/>
      <c r="X162" s="5">
        <v>1</v>
      </c>
      <c r="Y162" s="5" t="s">
        <v>454</v>
      </c>
      <c r="AA162" s="8">
        <v>46312</v>
      </c>
    </row>
    <row r="163" spans="1:27" ht="15" customHeight="1" x14ac:dyDescent="0.2">
      <c r="A163" s="5">
        <v>162</v>
      </c>
      <c r="B163" s="5">
        <v>325560899</v>
      </c>
      <c r="C163" s="5">
        <v>3</v>
      </c>
      <c r="D163" s="5" t="s">
        <v>26</v>
      </c>
      <c r="E163" s="5">
        <v>13</v>
      </c>
      <c r="F163" s="5" t="s">
        <v>451</v>
      </c>
      <c r="G163" s="5">
        <v>137.4</v>
      </c>
      <c r="H163" s="5">
        <f t="shared" si="4"/>
        <v>4.9228963797882486</v>
      </c>
      <c r="I163" s="5"/>
      <c r="J163" s="5">
        <v>3</v>
      </c>
      <c r="K163" s="5">
        <v>9</v>
      </c>
      <c r="L163" s="6">
        <f t="shared" si="5"/>
        <v>0.33333333333333331</v>
      </c>
      <c r="M163" s="5"/>
      <c r="N163" s="5"/>
      <c r="O163" s="5">
        <v>0</v>
      </c>
      <c r="P163" s="5">
        <v>215000000</v>
      </c>
      <c r="Q163" s="7" t="s">
        <v>455</v>
      </c>
      <c r="R163" s="5" t="s">
        <v>37</v>
      </c>
      <c r="S163" s="5">
        <v>3</v>
      </c>
      <c r="T163" s="5">
        <v>3</v>
      </c>
      <c r="U163" s="5">
        <v>3.1</v>
      </c>
      <c r="V163" s="5" t="s">
        <v>38</v>
      </c>
      <c r="W163" s="5">
        <v>1</v>
      </c>
      <c r="X163" s="5">
        <v>1</v>
      </c>
      <c r="Y163" s="5" t="s">
        <v>456</v>
      </c>
      <c r="AA163" s="8">
        <v>46312</v>
      </c>
    </row>
    <row r="164" spans="1:27" ht="384.75" customHeight="1" x14ac:dyDescent="0.2">
      <c r="A164" s="5">
        <v>163</v>
      </c>
      <c r="B164" s="5">
        <v>332838505</v>
      </c>
      <c r="C164" s="5">
        <v>2</v>
      </c>
      <c r="D164" s="5" t="s">
        <v>64</v>
      </c>
      <c r="E164" s="5">
        <v>7</v>
      </c>
      <c r="F164" s="5" t="s">
        <v>457</v>
      </c>
      <c r="G164" s="5">
        <v>80</v>
      </c>
      <c r="H164" s="5">
        <f t="shared" si="4"/>
        <v>4.3820266346738812</v>
      </c>
      <c r="I164" s="5">
        <v>20</v>
      </c>
      <c r="J164" s="5">
        <v>3</v>
      </c>
      <c r="K164" s="5">
        <v>7</v>
      </c>
      <c r="L164" s="6">
        <f t="shared" si="5"/>
        <v>0.42857142857142855</v>
      </c>
      <c r="M164" s="5" t="s">
        <v>28</v>
      </c>
      <c r="N164" s="5" t="s">
        <v>61</v>
      </c>
      <c r="O164" s="5">
        <v>1</v>
      </c>
      <c r="P164" s="5">
        <v>102000000</v>
      </c>
      <c r="Q164" s="7" t="s">
        <v>458</v>
      </c>
      <c r="R164" s="5" t="s">
        <v>37</v>
      </c>
      <c r="S164" s="5">
        <v>3</v>
      </c>
      <c r="T164" s="5">
        <v>1</v>
      </c>
      <c r="U164" s="5">
        <v>3.8</v>
      </c>
      <c r="V164" s="5" t="s">
        <v>31</v>
      </c>
      <c r="W164" s="5">
        <v>2</v>
      </c>
      <c r="X164" s="5">
        <v>1</v>
      </c>
      <c r="Y164" s="5" t="s">
        <v>459</v>
      </c>
      <c r="AA164" s="8">
        <v>46312</v>
      </c>
    </row>
    <row r="165" spans="1:27" ht="342.75" customHeight="1" x14ac:dyDescent="0.2">
      <c r="A165" s="5">
        <v>164</v>
      </c>
      <c r="B165" s="5">
        <v>334971178</v>
      </c>
      <c r="C165" s="5">
        <v>1</v>
      </c>
      <c r="D165" s="5" t="s">
        <v>33</v>
      </c>
      <c r="E165" s="5">
        <v>10</v>
      </c>
      <c r="F165" s="5" t="s">
        <v>460</v>
      </c>
      <c r="G165" s="5">
        <v>31</v>
      </c>
      <c r="H165" s="5">
        <f t="shared" si="4"/>
        <v>3.4339872044851463</v>
      </c>
      <c r="I165" s="5">
        <v>20</v>
      </c>
      <c r="J165" s="5">
        <v>3</v>
      </c>
      <c r="K165" s="5">
        <v>9</v>
      </c>
      <c r="L165" s="6">
        <f t="shared" si="5"/>
        <v>0.33333333333333331</v>
      </c>
      <c r="M165" s="5" t="s">
        <v>28</v>
      </c>
      <c r="N165" s="5" t="s">
        <v>61</v>
      </c>
      <c r="O165" s="5">
        <v>1</v>
      </c>
      <c r="P165" s="5">
        <v>30000000</v>
      </c>
      <c r="Q165" s="7" t="s">
        <v>461</v>
      </c>
      <c r="R165" s="5" t="s">
        <v>30</v>
      </c>
      <c r="S165" s="5">
        <v>2</v>
      </c>
      <c r="T165" s="5">
        <v>1</v>
      </c>
      <c r="U165" s="5">
        <v>2.7</v>
      </c>
      <c r="V165" s="5" t="s">
        <v>52</v>
      </c>
      <c r="W165" s="5">
        <v>0</v>
      </c>
      <c r="X165" s="5">
        <v>1</v>
      </c>
      <c r="Y165" s="5" t="s">
        <v>462</v>
      </c>
      <c r="AA165" s="8">
        <v>46312</v>
      </c>
    </row>
    <row r="166" spans="1:27" ht="342.75" customHeight="1" x14ac:dyDescent="0.2">
      <c r="A166" s="5">
        <v>165</v>
      </c>
      <c r="B166" s="5">
        <v>330850234</v>
      </c>
      <c r="C166" s="5">
        <v>4</v>
      </c>
      <c r="D166" s="5" t="s">
        <v>54</v>
      </c>
      <c r="E166" s="5">
        <v>3</v>
      </c>
      <c r="F166" s="5" t="s">
        <v>463</v>
      </c>
      <c r="G166" s="5">
        <v>84.5</v>
      </c>
      <c r="H166" s="5">
        <f t="shared" si="4"/>
        <v>4.4367515343631281</v>
      </c>
      <c r="I166" s="5">
        <v>56.8</v>
      </c>
      <c r="J166" s="5">
        <v>5</v>
      </c>
      <c r="K166" s="5">
        <v>5</v>
      </c>
      <c r="L166" s="6">
        <f t="shared" si="5"/>
        <v>1</v>
      </c>
      <c r="M166" s="5" t="s">
        <v>28</v>
      </c>
      <c r="N166" s="5" t="s">
        <v>61</v>
      </c>
      <c r="O166" s="5">
        <v>1</v>
      </c>
      <c r="P166" s="5">
        <v>70900000</v>
      </c>
      <c r="Q166" s="7" t="s">
        <v>464</v>
      </c>
      <c r="R166" s="5" t="s">
        <v>37</v>
      </c>
      <c r="S166" s="5">
        <v>3</v>
      </c>
      <c r="T166" s="5">
        <v>1</v>
      </c>
      <c r="U166" s="5">
        <v>3.3</v>
      </c>
      <c r="V166" s="5" t="s">
        <v>38</v>
      </c>
      <c r="W166" s="5">
        <v>1</v>
      </c>
      <c r="X166" s="5">
        <v>1</v>
      </c>
      <c r="Y166" s="5" t="s">
        <v>465</v>
      </c>
      <c r="AA166" s="8">
        <v>46312</v>
      </c>
    </row>
    <row r="167" spans="1:27" ht="285.75" customHeight="1" x14ac:dyDescent="0.2">
      <c r="A167" s="5">
        <v>166</v>
      </c>
      <c r="B167" s="5">
        <v>321728661</v>
      </c>
      <c r="C167" s="5">
        <v>5</v>
      </c>
      <c r="D167" s="5" t="s">
        <v>54</v>
      </c>
      <c r="E167" s="5">
        <v>8</v>
      </c>
      <c r="F167" s="5" t="s">
        <v>287</v>
      </c>
      <c r="G167" s="5">
        <v>171</v>
      </c>
      <c r="H167" s="5">
        <f t="shared" si="4"/>
        <v>5.1416635565026603</v>
      </c>
      <c r="I167" s="5">
        <v>121</v>
      </c>
      <c r="J167" s="5">
        <v>2</v>
      </c>
      <c r="K167" s="5">
        <v>4</v>
      </c>
      <c r="L167" s="6">
        <f t="shared" si="5"/>
        <v>0.5</v>
      </c>
      <c r="M167" s="5" t="s">
        <v>28</v>
      </c>
      <c r="N167" s="5" t="s">
        <v>61</v>
      </c>
      <c r="O167" s="5">
        <v>1</v>
      </c>
      <c r="P167" s="5">
        <v>155000000</v>
      </c>
      <c r="Q167" s="7" t="s">
        <v>466</v>
      </c>
      <c r="R167" s="5" t="s">
        <v>37</v>
      </c>
      <c r="S167" s="5">
        <v>3</v>
      </c>
      <c r="T167" s="5">
        <v>4</v>
      </c>
      <c r="U167" s="5"/>
      <c r="V167" s="5"/>
      <c r="W167" s="5"/>
      <c r="X167" s="5">
        <v>1</v>
      </c>
      <c r="Y167" s="5" t="s">
        <v>467</v>
      </c>
      <c r="AA167" s="8">
        <v>46312</v>
      </c>
    </row>
    <row r="168" spans="1:27" ht="328.5" customHeight="1" x14ac:dyDescent="0.2">
      <c r="A168" s="5">
        <v>167</v>
      </c>
      <c r="B168" s="5">
        <v>332437315</v>
      </c>
      <c r="C168" s="5">
        <v>5</v>
      </c>
      <c r="D168" s="5" t="s">
        <v>33</v>
      </c>
      <c r="E168" s="5">
        <v>13</v>
      </c>
      <c r="F168" s="5" t="s">
        <v>34</v>
      </c>
      <c r="G168" s="5">
        <v>332.2</v>
      </c>
      <c r="H168" s="5">
        <f t="shared" si="4"/>
        <v>5.8057371971791945</v>
      </c>
      <c r="I168" s="5"/>
      <c r="J168" s="5">
        <v>1</v>
      </c>
      <c r="K168" s="5">
        <v>9</v>
      </c>
      <c r="L168" s="6">
        <f t="shared" si="5"/>
        <v>0.1111111111111111</v>
      </c>
      <c r="M168" s="5"/>
      <c r="N168" s="5" t="s">
        <v>35</v>
      </c>
      <c r="O168" s="5">
        <v>2</v>
      </c>
      <c r="P168" s="5">
        <v>950000000</v>
      </c>
      <c r="Q168" s="7" t="s">
        <v>468</v>
      </c>
      <c r="R168" s="5" t="s">
        <v>37</v>
      </c>
      <c r="S168" s="5">
        <v>3</v>
      </c>
      <c r="T168" s="5">
        <v>4</v>
      </c>
      <c r="U168" s="5">
        <v>3.3</v>
      </c>
      <c r="V168" s="5" t="s">
        <v>38</v>
      </c>
      <c r="W168" s="5">
        <v>1</v>
      </c>
      <c r="X168" s="5">
        <v>1</v>
      </c>
      <c r="Y168" s="5" t="s">
        <v>469</v>
      </c>
      <c r="AA168" s="8">
        <v>46312</v>
      </c>
    </row>
    <row r="169" spans="1:27" ht="150.75" customHeight="1" x14ac:dyDescent="0.2">
      <c r="A169" s="5">
        <v>168</v>
      </c>
      <c r="B169" s="5">
        <v>327153940</v>
      </c>
      <c r="C169" s="5">
        <v>4</v>
      </c>
      <c r="D169" s="5" t="s">
        <v>26</v>
      </c>
      <c r="E169" s="5">
        <v>6</v>
      </c>
      <c r="F169" s="5" t="s">
        <v>470</v>
      </c>
      <c r="G169" s="5">
        <v>90.1</v>
      </c>
      <c r="H169" s="5">
        <f t="shared" si="4"/>
        <v>4.5009201646142918</v>
      </c>
      <c r="I169" s="5"/>
      <c r="J169" s="5">
        <v>4</v>
      </c>
      <c r="K169" s="5">
        <v>7</v>
      </c>
      <c r="L169" s="6">
        <f t="shared" si="5"/>
        <v>0.5714285714285714</v>
      </c>
      <c r="M169" s="5" t="s">
        <v>28</v>
      </c>
      <c r="N169" s="5" t="s">
        <v>61</v>
      </c>
      <c r="O169" s="5">
        <v>1</v>
      </c>
      <c r="P169" s="5">
        <v>74000000</v>
      </c>
      <c r="Q169" s="7" t="s">
        <v>471</v>
      </c>
      <c r="R169" s="5" t="s">
        <v>30</v>
      </c>
      <c r="S169" s="5">
        <v>2</v>
      </c>
      <c r="T169" s="5">
        <v>2</v>
      </c>
      <c r="U169" s="5">
        <v>3.2</v>
      </c>
      <c r="V169" s="5" t="s">
        <v>38</v>
      </c>
      <c r="W169" s="5">
        <v>1</v>
      </c>
      <c r="X169" s="5">
        <v>1</v>
      </c>
      <c r="Y169" s="5" t="s">
        <v>472</v>
      </c>
      <c r="AA169" s="8">
        <v>46312</v>
      </c>
    </row>
    <row r="170" spans="1:27" ht="15" customHeight="1" x14ac:dyDescent="0.2">
      <c r="A170" s="5">
        <v>169</v>
      </c>
      <c r="B170" s="5">
        <v>333527949</v>
      </c>
      <c r="C170" s="5">
        <v>4</v>
      </c>
      <c r="D170" s="5" t="s">
        <v>33</v>
      </c>
      <c r="E170" s="5">
        <v>14</v>
      </c>
      <c r="F170" s="5" t="s">
        <v>154</v>
      </c>
      <c r="G170" s="5">
        <v>110</v>
      </c>
      <c r="H170" s="5">
        <f t="shared" si="4"/>
        <v>4.7004803657924166</v>
      </c>
      <c r="I170" s="5"/>
      <c r="J170" s="5">
        <v>2</v>
      </c>
      <c r="K170" s="5">
        <v>5</v>
      </c>
      <c r="L170" s="6">
        <f t="shared" si="5"/>
        <v>0.4</v>
      </c>
      <c r="M170" s="5" t="s">
        <v>28</v>
      </c>
      <c r="N170" s="5" t="s">
        <v>67</v>
      </c>
      <c r="O170" s="5">
        <v>1</v>
      </c>
      <c r="P170" s="5">
        <v>75000000</v>
      </c>
      <c r="Q170" s="7" t="s">
        <v>473</v>
      </c>
      <c r="R170" s="5" t="s">
        <v>37</v>
      </c>
      <c r="S170" s="5">
        <v>3</v>
      </c>
      <c r="T170" s="5">
        <v>2</v>
      </c>
      <c r="U170" s="5">
        <v>3.4</v>
      </c>
      <c r="V170" s="5" t="s">
        <v>38</v>
      </c>
      <c r="W170" s="5">
        <v>1</v>
      </c>
      <c r="X170" s="5">
        <v>1</v>
      </c>
      <c r="Y170" s="5" t="s">
        <v>474</v>
      </c>
      <c r="AA170" s="8">
        <v>46312</v>
      </c>
    </row>
    <row r="171" spans="1:27" ht="15" customHeight="1" x14ac:dyDescent="0.2">
      <c r="A171" s="5">
        <v>170</v>
      </c>
      <c r="B171" s="5">
        <v>334642676</v>
      </c>
      <c r="C171" s="5">
        <v>3</v>
      </c>
      <c r="D171" s="5" t="s">
        <v>26</v>
      </c>
      <c r="E171" s="5">
        <v>9</v>
      </c>
      <c r="F171" s="5" t="s">
        <v>210</v>
      </c>
      <c r="G171" s="5">
        <v>98.3</v>
      </c>
      <c r="H171" s="5">
        <f t="shared" si="4"/>
        <v>4.5880240271531205</v>
      </c>
      <c r="I171" s="5">
        <v>69.2</v>
      </c>
      <c r="J171" s="5">
        <v>2</v>
      </c>
      <c r="K171" s="5">
        <v>6</v>
      </c>
      <c r="L171" s="6">
        <f t="shared" si="5"/>
        <v>0.33333333333333331</v>
      </c>
      <c r="M171" s="5" t="s">
        <v>28</v>
      </c>
      <c r="N171" s="5" t="s">
        <v>61</v>
      </c>
      <c r="O171" s="5">
        <v>1</v>
      </c>
      <c r="P171" s="5">
        <v>75000000</v>
      </c>
      <c r="Q171" s="7" t="s">
        <v>475</v>
      </c>
      <c r="R171" s="5" t="s">
        <v>30</v>
      </c>
      <c r="S171" s="5">
        <v>2</v>
      </c>
      <c r="T171" s="5">
        <v>1</v>
      </c>
      <c r="U171" s="5">
        <v>3</v>
      </c>
      <c r="V171" s="5" t="s">
        <v>38</v>
      </c>
      <c r="W171" s="5">
        <v>1</v>
      </c>
      <c r="X171" s="5">
        <v>1</v>
      </c>
      <c r="Y171" s="5" t="s">
        <v>476</v>
      </c>
      <c r="AA171" s="8">
        <v>46312</v>
      </c>
    </row>
    <row r="172" spans="1:27" ht="210.75" customHeight="1" x14ac:dyDescent="0.2">
      <c r="A172" s="5">
        <v>171</v>
      </c>
      <c r="B172" s="5">
        <v>317410374</v>
      </c>
      <c r="C172" s="5">
        <v>2</v>
      </c>
      <c r="D172" s="5" t="s">
        <v>54</v>
      </c>
      <c r="E172" s="5">
        <v>11</v>
      </c>
      <c r="F172" s="5" t="s">
        <v>255</v>
      </c>
      <c r="G172" s="5">
        <v>117</v>
      </c>
      <c r="H172" s="5">
        <f t="shared" si="4"/>
        <v>4.7621739347977563</v>
      </c>
      <c r="I172" s="5">
        <v>50</v>
      </c>
      <c r="J172" s="5">
        <v>12</v>
      </c>
      <c r="K172" s="5">
        <v>12</v>
      </c>
      <c r="L172" s="6">
        <f t="shared" si="5"/>
        <v>1</v>
      </c>
      <c r="M172" s="5" t="s">
        <v>28</v>
      </c>
      <c r="N172" s="5" t="s">
        <v>61</v>
      </c>
      <c r="O172" s="5">
        <v>1</v>
      </c>
      <c r="P172" s="5">
        <v>203191011</v>
      </c>
      <c r="Q172" s="7" t="s">
        <v>477</v>
      </c>
      <c r="R172" s="5" t="s">
        <v>37</v>
      </c>
      <c r="S172" s="5">
        <v>3</v>
      </c>
      <c r="T172" s="5">
        <v>2</v>
      </c>
      <c r="U172" s="5"/>
      <c r="V172" s="5"/>
      <c r="W172" s="5"/>
      <c r="X172" s="5">
        <v>1</v>
      </c>
      <c r="Y172" s="5" t="s">
        <v>478</v>
      </c>
      <c r="AA172" s="8">
        <v>46312</v>
      </c>
    </row>
    <row r="173" spans="1:27" ht="135.75" customHeight="1" x14ac:dyDescent="0.2">
      <c r="A173" s="5">
        <v>172</v>
      </c>
      <c r="B173" s="5">
        <v>307581761</v>
      </c>
      <c r="C173" s="5">
        <v>3</v>
      </c>
      <c r="D173" s="5" t="s">
        <v>54</v>
      </c>
      <c r="E173" s="5">
        <v>10</v>
      </c>
      <c r="F173" s="5" t="s">
        <v>142</v>
      </c>
      <c r="G173" s="5">
        <v>143</v>
      </c>
      <c r="H173" s="5">
        <f t="shared" si="4"/>
        <v>4.962844630259907</v>
      </c>
      <c r="I173" s="5"/>
      <c r="J173" s="5">
        <v>4</v>
      </c>
      <c r="K173" s="5">
        <v>4</v>
      </c>
      <c r="L173" s="6">
        <f t="shared" si="5"/>
        <v>1</v>
      </c>
      <c r="M173" s="5"/>
      <c r="N173" s="5" t="s">
        <v>61</v>
      </c>
      <c r="O173" s="5">
        <v>1</v>
      </c>
      <c r="P173" s="5">
        <v>140000000</v>
      </c>
      <c r="Q173" s="7" t="s">
        <v>479</v>
      </c>
      <c r="R173" s="5" t="s">
        <v>37</v>
      </c>
      <c r="S173" s="5">
        <v>3</v>
      </c>
      <c r="T173" s="5">
        <v>2</v>
      </c>
      <c r="U173" s="5"/>
      <c r="V173" s="5"/>
      <c r="W173" s="5"/>
      <c r="X173" s="5">
        <v>1</v>
      </c>
      <c r="Y173" s="5" t="s">
        <v>480</v>
      </c>
      <c r="AA173" s="8">
        <v>46312</v>
      </c>
    </row>
    <row r="174" spans="1:27" ht="399" customHeight="1" x14ac:dyDescent="0.2">
      <c r="A174" s="5">
        <v>173</v>
      </c>
      <c r="B174" s="5">
        <v>316274866</v>
      </c>
      <c r="C174" s="5">
        <v>2</v>
      </c>
      <c r="D174" s="5" t="s">
        <v>54</v>
      </c>
      <c r="E174" s="5">
        <v>10</v>
      </c>
      <c r="F174" s="5" t="s">
        <v>142</v>
      </c>
      <c r="G174" s="5">
        <v>55</v>
      </c>
      <c r="H174" s="5">
        <f t="shared" si="4"/>
        <v>4.0073331852324712</v>
      </c>
      <c r="I174" s="5"/>
      <c r="J174" s="5">
        <v>3</v>
      </c>
      <c r="K174" s="5">
        <v>4</v>
      </c>
      <c r="L174" s="6">
        <f t="shared" si="5"/>
        <v>0.75</v>
      </c>
      <c r="M174" s="5"/>
      <c r="N174" s="5"/>
      <c r="O174" s="5">
        <v>0</v>
      </c>
      <c r="P174" s="5">
        <v>87500000</v>
      </c>
      <c r="Q174" s="7" t="s">
        <v>481</v>
      </c>
      <c r="R174" s="5" t="s">
        <v>37</v>
      </c>
      <c r="S174" s="5">
        <v>3</v>
      </c>
      <c r="T174" s="5">
        <v>1</v>
      </c>
      <c r="U174" s="5"/>
      <c r="V174" s="5"/>
      <c r="W174" s="5"/>
      <c r="X174" s="5">
        <v>1</v>
      </c>
      <c r="Y174" s="5" t="s">
        <v>482</v>
      </c>
      <c r="AA174" s="8">
        <v>46312</v>
      </c>
    </row>
    <row r="175" spans="1:27" ht="409.5" customHeight="1" x14ac:dyDescent="0.2">
      <c r="A175" s="5">
        <v>174</v>
      </c>
      <c r="B175" s="5">
        <v>332759349</v>
      </c>
      <c r="C175" s="5">
        <v>1</v>
      </c>
      <c r="D175" s="5" t="s">
        <v>54</v>
      </c>
      <c r="E175" s="5">
        <v>6</v>
      </c>
      <c r="F175" s="5" t="s">
        <v>483</v>
      </c>
      <c r="G175" s="5">
        <v>39.1</v>
      </c>
      <c r="H175" s="5">
        <f t="shared" si="4"/>
        <v>3.6661224669913199</v>
      </c>
      <c r="I175" s="5">
        <v>22</v>
      </c>
      <c r="J175" s="5">
        <v>6</v>
      </c>
      <c r="K175" s="5">
        <v>6</v>
      </c>
      <c r="L175" s="6">
        <f t="shared" si="5"/>
        <v>1</v>
      </c>
      <c r="M175" s="5" t="s">
        <v>28</v>
      </c>
      <c r="N175" s="5" t="s">
        <v>61</v>
      </c>
      <c r="O175" s="5">
        <v>1</v>
      </c>
      <c r="P175" s="5">
        <v>36000000</v>
      </c>
      <c r="Q175" s="7" t="s">
        <v>484</v>
      </c>
      <c r="R175" s="5" t="s">
        <v>107</v>
      </c>
      <c r="S175" s="5">
        <v>1</v>
      </c>
      <c r="T175" s="5">
        <v>1</v>
      </c>
      <c r="U175" s="5">
        <v>3.4</v>
      </c>
      <c r="V175" s="5" t="s">
        <v>38</v>
      </c>
      <c r="W175" s="5">
        <v>1</v>
      </c>
      <c r="X175" s="5">
        <v>1</v>
      </c>
      <c r="Y175" s="5" t="s">
        <v>485</v>
      </c>
      <c r="AA175" s="8">
        <v>46312</v>
      </c>
    </row>
    <row r="176" spans="1:27" ht="165.75" customHeight="1" x14ac:dyDescent="0.2">
      <c r="A176" s="5">
        <v>175</v>
      </c>
      <c r="B176" s="5">
        <v>334573603</v>
      </c>
      <c r="C176" s="5">
        <v>3</v>
      </c>
      <c r="D176" s="5" t="s">
        <v>26</v>
      </c>
      <c r="E176" s="5">
        <v>9</v>
      </c>
      <c r="F176" s="5" t="s">
        <v>210</v>
      </c>
      <c r="G176" s="5">
        <v>100</v>
      </c>
      <c r="H176" s="5">
        <f t="shared" si="4"/>
        <v>4.6051701859880918</v>
      </c>
      <c r="I176" s="5">
        <v>69.2</v>
      </c>
      <c r="J176" s="5">
        <v>2</v>
      </c>
      <c r="K176" s="5">
        <v>6</v>
      </c>
      <c r="L176" s="6">
        <f t="shared" si="5"/>
        <v>0.33333333333333331</v>
      </c>
      <c r="M176" s="5" t="s">
        <v>28</v>
      </c>
      <c r="N176" s="5" t="s">
        <v>61</v>
      </c>
      <c r="O176" s="5">
        <v>1</v>
      </c>
      <c r="P176" s="5">
        <v>75000000</v>
      </c>
      <c r="Q176" s="7" t="s">
        <v>486</v>
      </c>
      <c r="R176" s="5" t="s">
        <v>37</v>
      </c>
      <c r="S176" s="5">
        <v>3</v>
      </c>
      <c r="T176" s="5">
        <v>1</v>
      </c>
      <c r="U176" s="5">
        <v>3</v>
      </c>
      <c r="V176" s="5" t="s">
        <v>38</v>
      </c>
      <c r="W176" s="5">
        <v>1</v>
      </c>
      <c r="X176" s="5">
        <v>1</v>
      </c>
      <c r="Y176" s="5" t="s">
        <v>487</v>
      </c>
      <c r="AA176" s="8">
        <v>46312</v>
      </c>
    </row>
    <row r="177" spans="1:27" ht="195.75" customHeight="1" x14ac:dyDescent="0.2">
      <c r="A177" s="5">
        <v>176</v>
      </c>
      <c r="B177" s="5">
        <v>333680932</v>
      </c>
      <c r="C177" s="5">
        <v>2</v>
      </c>
      <c r="D177" s="5" t="s">
        <v>64</v>
      </c>
      <c r="E177" s="5">
        <v>7</v>
      </c>
      <c r="F177" s="5" t="s">
        <v>457</v>
      </c>
      <c r="G177" s="5">
        <v>85</v>
      </c>
      <c r="H177" s="5">
        <f t="shared" si="4"/>
        <v>4.4426512564903167</v>
      </c>
      <c r="I177" s="5">
        <v>60</v>
      </c>
      <c r="J177" s="5">
        <v>3</v>
      </c>
      <c r="K177" s="5">
        <v>7</v>
      </c>
      <c r="L177" s="6">
        <f t="shared" si="5"/>
        <v>0.42857142857142855</v>
      </c>
      <c r="M177" s="5" t="s">
        <v>28</v>
      </c>
      <c r="N177" s="5"/>
      <c r="O177" s="5">
        <v>0</v>
      </c>
      <c r="P177" s="5">
        <v>102000000</v>
      </c>
      <c r="Q177" s="7" t="s">
        <v>488</v>
      </c>
      <c r="R177" s="5" t="s">
        <v>37</v>
      </c>
      <c r="S177" s="5">
        <v>3</v>
      </c>
      <c r="T177" s="5">
        <v>3</v>
      </c>
      <c r="U177" s="5">
        <v>3.8</v>
      </c>
      <c r="V177" s="5" t="s">
        <v>31</v>
      </c>
      <c r="W177" s="5">
        <v>2</v>
      </c>
      <c r="X177" s="5">
        <v>1</v>
      </c>
      <c r="Y177" s="5" t="s">
        <v>489</v>
      </c>
      <c r="AA177" s="8">
        <v>46312</v>
      </c>
    </row>
    <row r="178" spans="1:27" ht="357" customHeight="1" x14ac:dyDescent="0.2">
      <c r="A178" s="5">
        <v>177</v>
      </c>
      <c r="B178" s="5">
        <v>330392817</v>
      </c>
      <c r="C178" s="5">
        <v>4</v>
      </c>
      <c r="D178" s="5" t="s">
        <v>54</v>
      </c>
      <c r="E178" s="5">
        <v>11</v>
      </c>
      <c r="F178" s="5" t="s">
        <v>154</v>
      </c>
      <c r="G178" s="5">
        <v>110</v>
      </c>
      <c r="H178" s="5">
        <f t="shared" si="4"/>
        <v>4.7004803657924166</v>
      </c>
      <c r="I178" s="5">
        <v>95</v>
      </c>
      <c r="J178" s="5">
        <v>2</v>
      </c>
      <c r="K178" s="5">
        <v>5</v>
      </c>
      <c r="L178" s="6">
        <f t="shared" si="5"/>
        <v>0.4</v>
      </c>
      <c r="M178" s="5" t="s">
        <v>28</v>
      </c>
      <c r="N178" s="5" t="s">
        <v>61</v>
      </c>
      <c r="O178" s="5">
        <v>1</v>
      </c>
      <c r="P178" s="5">
        <v>75000000</v>
      </c>
      <c r="Q178" s="7" t="s">
        <v>490</v>
      </c>
      <c r="R178" s="5" t="s">
        <v>30</v>
      </c>
      <c r="S178" s="5">
        <v>2</v>
      </c>
      <c r="T178" s="5">
        <v>1</v>
      </c>
      <c r="U178" s="5">
        <v>3.4</v>
      </c>
      <c r="V178" s="5" t="s">
        <v>38</v>
      </c>
      <c r="W178" s="5">
        <v>1</v>
      </c>
      <c r="X178" s="5">
        <v>1</v>
      </c>
      <c r="Y178" s="5" t="s">
        <v>491</v>
      </c>
      <c r="AA178" s="8">
        <v>46312</v>
      </c>
    </row>
    <row r="179" spans="1:27" ht="357" customHeight="1" x14ac:dyDescent="0.2">
      <c r="A179" s="5">
        <v>178</v>
      </c>
      <c r="B179" s="5">
        <v>321701079</v>
      </c>
      <c r="C179" s="5">
        <v>5</v>
      </c>
      <c r="D179" s="5" t="s">
        <v>26</v>
      </c>
      <c r="E179" s="5">
        <v>9</v>
      </c>
      <c r="F179" s="5" t="s">
        <v>264</v>
      </c>
      <c r="G179" s="5">
        <v>147.19999999999999</v>
      </c>
      <c r="H179" s="5">
        <f t="shared" si="4"/>
        <v>4.9917922062947762</v>
      </c>
      <c r="I179" s="5">
        <v>96.4</v>
      </c>
      <c r="J179" s="5">
        <v>4</v>
      </c>
      <c r="K179" s="5">
        <v>5</v>
      </c>
      <c r="L179" s="6">
        <f t="shared" si="5"/>
        <v>0.8</v>
      </c>
      <c r="M179" s="5"/>
      <c r="N179" s="5" t="s">
        <v>61</v>
      </c>
      <c r="O179" s="5">
        <v>1</v>
      </c>
      <c r="P179" s="5">
        <v>150000000</v>
      </c>
      <c r="Q179" s="7" t="s">
        <v>492</v>
      </c>
      <c r="R179" s="5" t="s">
        <v>30</v>
      </c>
      <c r="S179" s="5">
        <v>2</v>
      </c>
      <c r="T179" s="5">
        <v>2</v>
      </c>
      <c r="U179" s="5">
        <v>4</v>
      </c>
      <c r="V179" s="5" t="s">
        <v>31</v>
      </c>
      <c r="W179" s="5">
        <v>2</v>
      </c>
      <c r="X179" s="5">
        <v>1</v>
      </c>
      <c r="Y179" s="5" t="s">
        <v>493</v>
      </c>
      <c r="AA179" s="8">
        <v>46312</v>
      </c>
    </row>
    <row r="180" spans="1:27" ht="15" customHeight="1" x14ac:dyDescent="0.2">
      <c r="A180" s="5">
        <v>179</v>
      </c>
      <c r="B180" s="5">
        <v>333497431</v>
      </c>
      <c r="C180" s="5">
        <v>3</v>
      </c>
      <c r="D180" s="5" t="s">
        <v>54</v>
      </c>
      <c r="E180" s="5">
        <v>9</v>
      </c>
      <c r="F180" s="5" t="s">
        <v>444</v>
      </c>
      <c r="G180" s="5">
        <v>160</v>
      </c>
      <c r="H180" s="5">
        <f t="shared" si="4"/>
        <v>5.0751738152338266</v>
      </c>
      <c r="I180" s="5">
        <v>90</v>
      </c>
      <c r="J180" s="5">
        <v>3</v>
      </c>
      <c r="K180" s="5">
        <v>5</v>
      </c>
      <c r="L180" s="6">
        <f t="shared" si="5"/>
        <v>0.6</v>
      </c>
      <c r="M180" s="5" t="s">
        <v>44</v>
      </c>
      <c r="N180" s="5" t="s">
        <v>35</v>
      </c>
      <c r="O180" s="5">
        <v>2</v>
      </c>
      <c r="P180" s="5">
        <v>440000000</v>
      </c>
      <c r="Q180" s="7" t="s">
        <v>494</v>
      </c>
      <c r="R180" s="5" t="s">
        <v>41</v>
      </c>
      <c r="S180" s="5">
        <v>0</v>
      </c>
      <c r="T180" s="5">
        <v>3</v>
      </c>
      <c r="U180" s="5">
        <v>3.5</v>
      </c>
      <c r="V180" s="5" t="s">
        <v>38</v>
      </c>
      <c r="W180" s="5">
        <v>1</v>
      </c>
      <c r="X180" s="5">
        <v>1</v>
      </c>
      <c r="Y180" s="5" t="s">
        <v>495</v>
      </c>
      <c r="AA180" s="8">
        <v>46312</v>
      </c>
    </row>
    <row r="181" spans="1:27" ht="409.5" customHeight="1" x14ac:dyDescent="0.2">
      <c r="A181" s="5">
        <v>180</v>
      </c>
      <c r="B181" s="5">
        <v>315037765</v>
      </c>
      <c r="C181" s="5">
        <v>6</v>
      </c>
      <c r="D181" s="5" t="s">
        <v>54</v>
      </c>
      <c r="E181" s="5">
        <v>14</v>
      </c>
      <c r="F181" s="5" t="s">
        <v>93</v>
      </c>
      <c r="G181" s="5">
        <v>264</v>
      </c>
      <c r="H181" s="5">
        <f t="shared" si="4"/>
        <v>5.575949103146316</v>
      </c>
      <c r="I181" s="5"/>
      <c r="J181" s="5">
        <v>7</v>
      </c>
      <c r="K181" s="5">
        <v>7</v>
      </c>
      <c r="L181" s="6">
        <f t="shared" si="5"/>
        <v>1</v>
      </c>
      <c r="M181" s="5" t="s">
        <v>28</v>
      </c>
      <c r="N181" s="5" t="s">
        <v>61</v>
      </c>
      <c r="O181" s="5">
        <v>1</v>
      </c>
      <c r="P181" s="5">
        <v>250000000</v>
      </c>
      <c r="Q181" s="7" t="s">
        <v>496</v>
      </c>
      <c r="R181" s="5" t="s">
        <v>37</v>
      </c>
      <c r="S181" s="5">
        <v>3</v>
      </c>
      <c r="T181" s="5">
        <v>4</v>
      </c>
      <c r="U181" s="5">
        <v>3.1</v>
      </c>
      <c r="V181" s="5" t="s">
        <v>38</v>
      </c>
      <c r="W181" s="5">
        <v>1</v>
      </c>
      <c r="X181" s="5">
        <v>1</v>
      </c>
      <c r="Y181" s="5" t="s">
        <v>497</v>
      </c>
      <c r="AA181" s="8">
        <v>46312</v>
      </c>
    </row>
    <row r="182" spans="1:27" ht="15" customHeight="1" x14ac:dyDescent="0.2">
      <c r="A182" s="5">
        <v>181</v>
      </c>
      <c r="B182" s="5">
        <v>332909422</v>
      </c>
      <c r="C182" s="5">
        <v>5</v>
      </c>
      <c r="D182" s="5" t="s">
        <v>26</v>
      </c>
      <c r="E182" s="5">
        <v>9</v>
      </c>
      <c r="F182" s="5" t="s">
        <v>444</v>
      </c>
      <c r="G182" s="5">
        <v>338</v>
      </c>
      <c r="H182" s="5">
        <f t="shared" si="4"/>
        <v>5.8230458954830189</v>
      </c>
      <c r="I182" s="5"/>
      <c r="J182" s="5">
        <v>3</v>
      </c>
      <c r="K182" s="5">
        <v>6</v>
      </c>
      <c r="L182" s="6">
        <f t="shared" si="5"/>
        <v>0.5</v>
      </c>
      <c r="M182" s="5" t="s">
        <v>57</v>
      </c>
      <c r="N182" s="5" t="s">
        <v>35</v>
      </c>
      <c r="O182" s="5">
        <v>2</v>
      </c>
      <c r="P182" s="5">
        <v>929500000</v>
      </c>
      <c r="Q182" s="7" t="s">
        <v>498</v>
      </c>
      <c r="R182" s="5" t="s">
        <v>41</v>
      </c>
      <c r="S182" s="5">
        <v>0</v>
      </c>
      <c r="T182" s="5">
        <v>6</v>
      </c>
      <c r="U182" s="5">
        <v>3.5</v>
      </c>
      <c r="V182" s="5" t="s">
        <v>38</v>
      </c>
      <c r="W182" s="5">
        <v>1</v>
      </c>
      <c r="X182" s="5">
        <v>1</v>
      </c>
      <c r="Y182" s="5" t="s">
        <v>499</v>
      </c>
      <c r="AA182" s="8">
        <v>46312</v>
      </c>
    </row>
    <row r="183" spans="1:27" ht="150.75" customHeight="1" x14ac:dyDescent="0.2">
      <c r="A183" s="5">
        <v>182</v>
      </c>
      <c r="B183" s="5">
        <v>332910840</v>
      </c>
      <c r="C183" s="5">
        <v>4</v>
      </c>
      <c r="D183" s="5" t="s">
        <v>26</v>
      </c>
      <c r="E183" s="5">
        <v>9</v>
      </c>
      <c r="F183" s="5" t="s">
        <v>90</v>
      </c>
      <c r="G183" s="5">
        <v>163.30000000000001</v>
      </c>
      <c r="H183" s="5">
        <f t="shared" si="4"/>
        <v>5.0955889999764192</v>
      </c>
      <c r="I183" s="5"/>
      <c r="J183" s="5">
        <v>2</v>
      </c>
      <c r="K183" s="5">
        <v>8</v>
      </c>
      <c r="L183" s="6">
        <f t="shared" si="5"/>
        <v>0.25</v>
      </c>
      <c r="M183" s="5" t="s">
        <v>57</v>
      </c>
      <c r="N183" s="5" t="s">
        <v>35</v>
      </c>
      <c r="O183" s="5">
        <v>2</v>
      </c>
      <c r="P183" s="5">
        <v>210000000</v>
      </c>
      <c r="Q183" s="7" t="s">
        <v>114</v>
      </c>
      <c r="R183" s="5" t="s">
        <v>107</v>
      </c>
      <c r="S183" s="5">
        <v>1</v>
      </c>
      <c r="T183" s="5">
        <v>3</v>
      </c>
      <c r="U183" s="5">
        <v>3.3</v>
      </c>
      <c r="V183" s="5" t="s">
        <v>38</v>
      </c>
      <c r="W183" s="5">
        <v>1</v>
      </c>
      <c r="X183" s="5">
        <v>1</v>
      </c>
      <c r="Y183" s="5" t="s">
        <v>500</v>
      </c>
      <c r="AA183" s="8">
        <v>46312</v>
      </c>
    </row>
    <row r="184" spans="1:27" ht="165.75" customHeight="1" x14ac:dyDescent="0.2">
      <c r="A184" s="5">
        <v>183</v>
      </c>
      <c r="B184" s="5">
        <v>334370838</v>
      </c>
      <c r="C184" s="5">
        <v>4</v>
      </c>
      <c r="D184" s="5" t="s">
        <v>26</v>
      </c>
      <c r="E184" s="5">
        <v>10</v>
      </c>
      <c r="F184" s="5" t="s">
        <v>198</v>
      </c>
      <c r="G184" s="5">
        <v>155.9</v>
      </c>
      <c r="H184" s="5">
        <f t="shared" si="4"/>
        <v>5.0492147760637307</v>
      </c>
      <c r="I184" s="5">
        <v>60</v>
      </c>
      <c r="J184" s="5">
        <v>5</v>
      </c>
      <c r="K184" s="5">
        <v>9</v>
      </c>
      <c r="L184" s="6">
        <f t="shared" si="5"/>
        <v>0.55555555555555558</v>
      </c>
      <c r="M184" s="5" t="s">
        <v>28</v>
      </c>
      <c r="N184" s="5" t="s">
        <v>35</v>
      </c>
      <c r="O184" s="5">
        <v>2</v>
      </c>
      <c r="P184" s="5">
        <v>219900000</v>
      </c>
      <c r="Q184" s="7" t="s">
        <v>199</v>
      </c>
      <c r="R184" s="5" t="s">
        <v>37</v>
      </c>
      <c r="S184" s="5">
        <v>3</v>
      </c>
      <c r="T184" s="5">
        <v>3</v>
      </c>
      <c r="U184" s="5">
        <v>3</v>
      </c>
      <c r="V184" s="5" t="s">
        <v>38</v>
      </c>
      <c r="W184" s="5">
        <v>1</v>
      </c>
      <c r="X184" s="5">
        <v>1</v>
      </c>
      <c r="Y184" s="5" t="s">
        <v>501</v>
      </c>
      <c r="AA184" s="8">
        <v>46312</v>
      </c>
    </row>
    <row r="185" spans="1:27" ht="328.5" customHeight="1" x14ac:dyDescent="0.2">
      <c r="A185" s="5">
        <v>184</v>
      </c>
      <c r="B185" s="5">
        <v>334575237</v>
      </c>
      <c r="C185" s="5">
        <v>4</v>
      </c>
      <c r="D185" s="5" t="s">
        <v>33</v>
      </c>
      <c r="E185" s="5">
        <v>13</v>
      </c>
      <c r="F185" s="5" t="s">
        <v>34</v>
      </c>
      <c r="G185" s="5">
        <v>163.5</v>
      </c>
      <c r="H185" s="5">
        <f t="shared" si="4"/>
        <v>5.0968129903373081</v>
      </c>
      <c r="I185" s="5"/>
      <c r="J185" s="5">
        <v>2</v>
      </c>
      <c r="K185" s="5">
        <v>9</v>
      </c>
      <c r="L185" s="6">
        <f t="shared" si="5"/>
        <v>0.22222222222222221</v>
      </c>
      <c r="M185" s="5"/>
      <c r="N185" s="5" t="s">
        <v>35</v>
      </c>
      <c r="O185" s="5">
        <v>2</v>
      </c>
      <c r="P185" s="5">
        <v>445000000</v>
      </c>
      <c r="Q185" s="7" t="s">
        <v>40</v>
      </c>
      <c r="R185" s="5" t="s">
        <v>41</v>
      </c>
      <c r="S185" s="5">
        <v>0</v>
      </c>
      <c r="T185" s="5">
        <v>3</v>
      </c>
      <c r="U185" s="5">
        <v>3.7</v>
      </c>
      <c r="V185" s="5" t="s">
        <v>31</v>
      </c>
      <c r="W185" s="5">
        <v>2</v>
      </c>
      <c r="X185" s="5">
        <v>1</v>
      </c>
      <c r="Y185" s="5" t="s">
        <v>502</v>
      </c>
      <c r="AA185" s="8">
        <v>46312</v>
      </c>
    </row>
    <row r="186" spans="1:27" ht="315" customHeight="1" x14ac:dyDescent="0.2">
      <c r="A186" s="5">
        <v>185</v>
      </c>
      <c r="B186" s="5">
        <v>334575230</v>
      </c>
      <c r="C186" s="5">
        <v>5</v>
      </c>
      <c r="D186" s="5" t="s">
        <v>26</v>
      </c>
      <c r="E186" s="5">
        <v>7</v>
      </c>
      <c r="F186" s="5" t="s">
        <v>47</v>
      </c>
      <c r="G186" s="5">
        <v>160</v>
      </c>
      <c r="H186" s="5">
        <f t="shared" si="4"/>
        <v>5.0751738152338266</v>
      </c>
      <c r="I186" s="5">
        <v>139.9</v>
      </c>
      <c r="J186" s="5">
        <v>8</v>
      </c>
      <c r="K186" s="5">
        <v>10</v>
      </c>
      <c r="L186" s="6">
        <f t="shared" si="5"/>
        <v>0.8</v>
      </c>
      <c r="M186" s="5" t="s">
        <v>44</v>
      </c>
      <c r="N186" s="5" t="s">
        <v>35</v>
      </c>
      <c r="O186" s="5">
        <v>2</v>
      </c>
      <c r="P186" s="5">
        <v>242491330</v>
      </c>
      <c r="Q186" s="7" t="s">
        <v>48</v>
      </c>
      <c r="R186" s="5" t="s">
        <v>37</v>
      </c>
      <c r="S186" s="5">
        <v>3</v>
      </c>
      <c r="T186" s="5">
        <v>6</v>
      </c>
      <c r="U186" s="5">
        <v>3</v>
      </c>
      <c r="V186" s="5" t="s">
        <v>38</v>
      </c>
      <c r="W186" s="5">
        <v>1</v>
      </c>
      <c r="X186" s="5">
        <v>1</v>
      </c>
      <c r="Y186" s="5" t="s">
        <v>503</v>
      </c>
      <c r="AA186" s="8">
        <v>46312</v>
      </c>
    </row>
    <row r="187" spans="1:27" ht="315" customHeight="1" x14ac:dyDescent="0.2">
      <c r="A187" s="5">
        <v>186</v>
      </c>
      <c r="B187" s="5">
        <v>333676584</v>
      </c>
      <c r="C187" s="5">
        <v>3</v>
      </c>
      <c r="D187" s="5" t="s">
        <v>26</v>
      </c>
      <c r="E187" s="5">
        <v>10</v>
      </c>
      <c r="F187" s="5" t="s">
        <v>99</v>
      </c>
      <c r="G187" s="5">
        <v>120</v>
      </c>
      <c r="H187" s="5">
        <f t="shared" si="4"/>
        <v>4.7874917427820458</v>
      </c>
      <c r="I187" s="5">
        <v>90</v>
      </c>
      <c r="J187" s="5">
        <v>5</v>
      </c>
      <c r="K187" s="5">
        <v>5</v>
      </c>
      <c r="L187" s="6">
        <f t="shared" si="5"/>
        <v>1</v>
      </c>
      <c r="M187" s="5" t="s">
        <v>44</v>
      </c>
      <c r="N187" s="5"/>
      <c r="O187" s="5">
        <v>0</v>
      </c>
      <c r="P187" s="5">
        <v>137000000</v>
      </c>
      <c r="Q187" s="7" t="s">
        <v>504</v>
      </c>
      <c r="R187" s="5" t="s">
        <v>37</v>
      </c>
      <c r="S187" s="5">
        <v>3</v>
      </c>
      <c r="T187" s="5">
        <v>2</v>
      </c>
      <c r="U187" s="5"/>
      <c r="V187" s="5"/>
      <c r="W187" s="5"/>
      <c r="X187" s="5">
        <v>1</v>
      </c>
      <c r="Y187" s="5" t="s">
        <v>505</v>
      </c>
      <c r="AA187" s="8">
        <v>46312</v>
      </c>
    </row>
    <row r="188" spans="1:27" ht="370.5" customHeight="1" x14ac:dyDescent="0.2">
      <c r="A188" s="5">
        <v>187</v>
      </c>
      <c r="B188" s="5">
        <v>332205728</v>
      </c>
      <c r="C188" s="5">
        <v>3</v>
      </c>
      <c r="D188" s="5" t="s">
        <v>54</v>
      </c>
      <c r="E188" s="5">
        <v>3</v>
      </c>
      <c r="F188" s="5" t="s">
        <v>506</v>
      </c>
      <c r="G188" s="5">
        <v>75</v>
      </c>
      <c r="H188" s="5">
        <f t="shared" si="4"/>
        <v>4.3174881135363101</v>
      </c>
      <c r="I188" s="5"/>
      <c r="J188" s="5">
        <v>5</v>
      </c>
      <c r="K188" s="5">
        <v>5</v>
      </c>
      <c r="L188" s="6">
        <f t="shared" si="5"/>
        <v>1</v>
      </c>
      <c r="M188" s="5" t="s">
        <v>28</v>
      </c>
      <c r="N188" s="5" t="s">
        <v>67</v>
      </c>
      <c r="O188" s="5">
        <v>1</v>
      </c>
      <c r="P188" s="5">
        <v>65000000</v>
      </c>
      <c r="Q188" s="7" t="s">
        <v>507</v>
      </c>
      <c r="R188" s="5" t="s">
        <v>37</v>
      </c>
      <c r="S188" s="5">
        <v>3</v>
      </c>
      <c r="T188" s="5">
        <v>1</v>
      </c>
      <c r="U188" s="5">
        <v>3.3</v>
      </c>
      <c r="V188" s="5" t="s">
        <v>38</v>
      </c>
      <c r="W188" s="5">
        <v>1</v>
      </c>
      <c r="X188" s="5">
        <v>1</v>
      </c>
      <c r="Y188" s="5" t="s">
        <v>508</v>
      </c>
      <c r="AA188" s="8">
        <v>46312</v>
      </c>
    </row>
    <row r="189" spans="1:27" ht="409.5" customHeight="1" x14ac:dyDescent="0.2">
      <c r="A189" s="5">
        <v>188</v>
      </c>
      <c r="B189" s="5">
        <v>334518203</v>
      </c>
      <c r="C189" s="5">
        <v>4</v>
      </c>
      <c r="D189" s="5" t="s">
        <v>26</v>
      </c>
      <c r="E189" s="5">
        <v>9</v>
      </c>
      <c r="F189" s="5" t="s">
        <v>509</v>
      </c>
      <c r="G189" s="5">
        <v>177</v>
      </c>
      <c r="H189" s="5">
        <f t="shared" si="4"/>
        <v>5.1761497325738288</v>
      </c>
      <c r="I189" s="5"/>
      <c r="J189" s="5">
        <v>2</v>
      </c>
      <c r="K189" s="5">
        <v>7</v>
      </c>
      <c r="L189" s="6">
        <f t="shared" si="5"/>
        <v>0.2857142857142857</v>
      </c>
      <c r="M189" s="5" t="s">
        <v>28</v>
      </c>
      <c r="N189" s="5" t="s">
        <v>61</v>
      </c>
      <c r="O189" s="5">
        <v>1</v>
      </c>
      <c r="P189" s="5">
        <v>240000000</v>
      </c>
      <c r="Q189" s="7" t="s">
        <v>510</v>
      </c>
      <c r="R189" s="5" t="s">
        <v>37</v>
      </c>
      <c r="S189" s="5">
        <v>3</v>
      </c>
      <c r="T189" s="5">
        <v>3</v>
      </c>
      <c r="U189" s="5">
        <v>3</v>
      </c>
      <c r="V189" s="5" t="s">
        <v>38</v>
      </c>
      <c r="W189" s="5">
        <v>1</v>
      </c>
      <c r="X189" s="5">
        <v>1</v>
      </c>
      <c r="Y189" s="5" t="s">
        <v>511</v>
      </c>
      <c r="AA189" s="8">
        <v>46312</v>
      </c>
    </row>
    <row r="190" spans="1:27" ht="15" customHeight="1" x14ac:dyDescent="0.2">
      <c r="A190" s="5">
        <v>189</v>
      </c>
      <c r="B190" s="5">
        <v>296891864</v>
      </c>
      <c r="C190" s="5">
        <v>3</v>
      </c>
      <c r="D190" s="5" t="s">
        <v>54</v>
      </c>
      <c r="E190" s="5">
        <v>11</v>
      </c>
      <c r="F190" s="5" t="s">
        <v>154</v>
      </c>
      <c r="G190" s="5">
        <v>120.7</v>
      </c>
      <c r="H190" s="5">
        <f t="shared" si="4"/>
        <v>4.7933081281034857</v>
      </c>
      <c r="I190" s="5"/>
      <c r="J190" s="5">
        <v>5</v>
      </c>
      <c r="K190" s="5">
        <v>5</v>
      </c>
      <c r="L190" s="6">
        <f t="shared" si="5"/>
        <v>1</v>
      </c>
      <c r="M190" s="5" t="s">
        <v>28</v>
      </c>
      <c r="N190" s="5"/>
      <c r="O190" s="5">
        <v>0</v>
      </c>
      <c r="P190" s="5">
        <v>108000000</v>
      </c>
      <c r="Q190" s="7" t="s">
        <v>512</v>
      </c>
      <c r="R190" s="5" t="s">
        <v>37</v>
      </c>
      <c r="S190" s="5">
        <v>3</v>
      </c>
      <c r="T190" s="5">
        <v>2</v>
      </c>
      <c r="U190" s="5">
        <v>3.05</v>
      </c>
      <c r="V190" s="5" t="s">
        <v>38</v>
      </c>
      <c r="W190" s="5">
        <v>1</v>
      </c>
      <c r="X190" s="5">
        <v>1</v>
      </c>
      <c r="Y190" s="5" t="s">
        <v>513</v>
      </c>
      <c r="AA190" s="8">
        <v>46312</v>
      </c>
    </row>
    <row r="191" spans="1:27" ht="384.75" customHeight="1" x14ac:dyDescent="0.2">
      <c r="A191" s="5">
        <v>190</v>
      </c>
      <c r="B191" s="5">
        <v>332232023</v>
      </c>
      <c r="C191" s="5">
        <v>4</v>
      </c>
      <c r="D191" s="5" t="s">
        <v>33</v>
      </c>
      <c r="E191" s="5">
        <v>13</v>
      </c>
      <c r="F191" s="5" t="s">
        <v>34</v>
      </c>
      <c r="G191" s="5">
        <v>163.5</v>
      </c>
      <c r="H191" s="5">
        <f t="shared" si="4"/>
        <v>5.0968129903373081</v>
      </c>
      <c r="I191" s="5">
        <v>43</v>
      </c>
      <c r="J191" s="5">
        <v>2</v>
      </c>
      <c r="K191" s="5">
        <v>9</v>
      </c>
      <c r="L191" s="6">
        <f t="shared" si="5"/>
        <v>0.22222222222222221</v>
      </c>
      <c r="M191" s="5" t="s">
        <v>44</v>
      </c>
      <c r="N191" s="5" t="s">
        <v>35</v>
      </c>
      <c r="O191" s="5">
        <v>2</v>
      </c>
      <c r="P191" s="5">
        <v>445000000</v>
      </c>
      <c r="Q191" s="7" t="s">
        <v>514</v>
      </c>
      <c r="R191" s="5" t="s">
        <v>41</v>
      </c>
      <c r="S191" s="5">
        <v>0</v>
      </c>
      <c r="T191" s="5">
        <v>4</v>
      </c>
      <c r="U191" s="5">
        <v>3.7</v>
      </c>
      <c r="V191" s="5" t="s">
        <v>31</v>
      </c>
      <c r="W191" s="5">
        <v>2</v>
      </c>
      <c r="X191" s="5">
        <v>1</v>
      </c>
      <c r="Y191" s="5" t="s">
        <v>515</v>
      </c>
      <c r="AA191" s="8">
        <v>46312</v>
      </c>
    </row>
    <row r="192" spans="1:27" ht="409.5" customHeight="1" x14ac:dyDescent="0.2">
      <c r="A192" s="5">
        <v>191</v>
      </c>
      <c r="B192" s="5">
        <v>334668415</v>
      </c>
      <c r="C192" s="5">
        <v>3</v>
      </c>
      <c r="D192" s="5" t="s">
        <v>26</v>
      </c>
      <c r="E192" s="5">
        <v>8</v>
      </c>
      <c r="F192" s="5" t="s">
        <v>204</v>
      </c>
      <c r="G192" s="5">
        <v>90</v>
      </c>
      <c r="H192" s="5">
        <f t="shared" si="4"/>
        <v>4.499809670330265</v>
      </c>
      <c r="I192" s="5"/>
      <c r="J192" s="5">
        <v>9</v>
      </c>
      <c r="K192" s="5">
        <v>17</v>
      </c>
      <c r="L192" s="6">
        <f t="shared" si="5"/>
        <v>0.52941176470588236</v>
      </c>
      <c r="M192" s="5" t="s">
        <v>28</v>
      </c>
      <c r="N192" s="5" t="s">
        <v>61</v>
      </c>
      <c r="O192" s="5">
        <v>1</v>
      </c>
      <c r="P192" s="5">
        <v>85000000</v>
      </c>
      <c r="Q192" s="7" t="s">
        <v>516</v>
      </c>
      <c r="R192" s="5" t="s">
        <v>37</v>
      </c>
      <c r="S192" s="5">
        <v>3</v>
      </c>
      <c r="T192" s="5">
        <v>1</v>
      </c>
      <c r="U192" s="5">
        <v>2.6</v>
      </c>
      <c r="V192" s="5" t="s">
        <v>52</v>
      </c>
      <c r="W192" s="5">
        <v>0</v>
      </c>
      <c r="X192" s="5">
        <v>1</v>
      </c>
      <c r="Y192" s="5" t="s">
        <v>517</v>
      </c>
      <c r="AA192" s="8">
        <v>46312</v>
      </c>
    </row>
    <row r="193" spans="1:27" ht="285.75" customHeight="1" x14ac:dyDescent="0.2">
      <c r="A193" s="5">
        <v>192</v>
      </c>
      <c r="B193" s="5">
        <v>334575162</v>
      </c>
      <c r="C193" s="5">
        <v>1</v>
      </c>
      <c r="D193" s="5" t="s">
        <v>64</v>
      </c>
      <c r="E193" s="5">
        <v>7</v>
      </c>
      <c r="F193" s="5" t="s">
        <v>457</v>
      </c>
      <c r="G193" s="5">
        <v>39</v>
      </c>
      <c r="H193" s="5">
        <f t="shared" si="4"/>
        <v>3.6635616461296463</v>
      </c>
      <c r="I193" s="5">
        <v>20</v>
      </c>
      <c r="J193" s="5">
        <v>1</v>
      </c>
      <c r="K193" s="5">
        <v>7</v>
      </c>
      <c r="L193" s="6">
        <f t="shared" si="5"/>
        <v>0.14285714285714285</v>
      </c>
      <c r="M193" s="5" t="s">
        <v>28</v>
      </c>
      <c r="N193" s="5"/>
      <c r="O193" s="5">
        <v>0</v>
      </c>
      <c r="P193" s="5">
        <v>45000000</v>
      </c>
      <c r="Q193" s="7" t="s">
        <v>518</v>
      </c>
      <c r="R193" s="5" t="s">
        <v>30</v>
      </c>
      <c r="S193" s="5">
        <v>2</v>
      </c>
      <c r="T193" s="5">
        <v>1</v>
      </c>
      <c r="U193" s="5"/>
      <c r="V193" s="5"/>
      <c r="W193" s="5"/>
      <c r="X193" s="5">
        <v>1</v>
      </c>
      <c r="Y193" s="5" t="s">
        <v>519</v>
      </c>
      <c r="AA193" s="8">
        <v>46312</v>
      </c>
    </row>
    <row r="194" spans="1:27" ht="255.75" customHeight="1" x14ac:dyDescent="0.2">
      <c r="A194" s="5">
        <v>193</v>
      </c>
      <c r="B194" s="5">
        <v>334515331</v>
      </c>
      <c r="C194" s="5">
        <v>3</v>
      </c>
      <c r="D194" s="5" t="s">
        <v>64</v>
      </c>
      <c r="E194" s="5">
        <v>7</v>
      </c>
      <c r="F194" s="5" t="s">
        <v>96</v>
      </c>
      <c r="G194" s="5">
        <v>112</v>
      </c>
      <c r="H194" s="5">
        <f t="shared" ref="H194:H257" si="6">LN(G194)</f>
        <v>4.7184988712950942</v>
      </c>
      <c r="I194" s="5">
        <v>80</v>
      </c>
      <c r="J194" s="5">
        <v>4</v>
      </c>
      <c r="K194" s="5">
        <v>6</v>
      </c>
      <c r="L194" s="6">
        <f t="shared" ref="L194:L257" si="7">J194/K194</f>
        <v>0.66666666666666663</v>
      </c>
      <c r="M194" s="5" t="s">
        <v>28</v>
      </c>
      <c r="N194" s="5"/>
      <c r="O194" s="5">
        <v>0</v>
      </c>
      <c r="P194" s="5">
        <v>175000000</v>
      </c>
      <c r="Q194" s="7" t="s">
        <v>97</v>
      </c>
      <c r="R194" s="5"/>
      <c r="S194" s="5"/>
      <c r="T194" s="5"/>
      <c r="U194" s="5"/>
      <c r="V194" s="5"/>
      <c r="W194" s="5"/>
      <c r="X194" s="5">
        <v>1</v>
      </c>
      <c r="Y194" s="5" t="s">
        <v>520</v>
      </c>
      <c r="AA194" s="8">
        <v>46312</v>
      </c>
    </row>
    <row r="195" spans="1:27" ht="370.5" customHeight="1" x14ac:dyDescent="0.2">
      <c r="A195" s="5">
        <v>194</v>
      </c>
      <c r="B195" s="5">
        <v>332908998</v>
      </c>
      <c r="C195" s="5">
        <v>3</v>
      </c>
      <c r="D195" s="5" t="s">
        <v>26</v>
      </c>
      <c r="E195" s="5">
        <v>9</v>
      </c>
      <c r="F195" s="5" t="s">
        <v>444</v>
      </c>
      <c r="G195" s="5">
        <v>160.9</v>
      </c>
      <c r="H195" s="5">
        <f t="shared" si="6"/>
        <v>5.0807830539983376</v>
      </c>
      <c r="I195" s="5"/>
      <c r="J195" s="5">
        <v>3</v>
      </c>
      <c r="K195" s="5">
        <v>5</v>
      </c>
      <c r="L195" s="6">
        <f t="shared" si="7"/>
        <v>0.6</v>
      </c>
      <c r="M195" s="5" t="s">
        <v>57</v>
      </c>
      <c r="N195" s="5" t="s">
        <v>35</v>
      </c>
      <c r="O195" s="5">
        <v>2</v>
      </c>
      <c r="P195" s="5">
        <v>442475000</v>
      </c>
      <c r="Q195" s="7" t="s">
        <v>521</v>
      </c>
      <c r="R195" s="5" t="s">
        <v>41</v>
      </c>
      <c r="S195" s="5">
        <v>0</v>
      </c>
      <c r="T195" s="5">
        <v>3</v>
      </c>
      <c r="U195" s="5">
        <v>3.5</v>
      </c>
      <c r="V195" s="5" t="s">
        <v>38</v>
      </c>
      <c r="W195" s="5">
        <v>1</v>
      </c>
      <c r="X195" s="5">
        <v>1</v>
      </c>
      <c r="Y195" s="5" t="s">
        <v>522</v>
      </c>
      <c r="AA195" s="8">
        <v>46312</v>
      </c>
    </row>
    <row r="196" spans="1:27" ht="315" customHeight="1" x14ac:dyDescent="0.2">
      <c r="A196" s="5">
        <v>195</v>
      </c>
      <c r="B196" s="5">
        <v>334394971</v>
      </c>
      <c r="C196" s="5">
        <v>3</v>
      </c>
      <c r="D196" s="5" t="s">
        <v>26</v>
      </c>
      <c r="E196" s="5">
        <v>8</v>
      </c>
      <c r="F196" s="5" t="s">
        <v>207</v>
      </c>
      <c r="G196" s="5">
        <v>69</v>
      </c>
      <c r="H196" s="5">
        <f t="shared" si="6"/>
        <v>4.2341065045972597</v>
      </c>
      <c r="I196" s="5">
        <v>40.5</v>
      </c>
      <c r="J196" s="5">
        <v>5</v>
      </c>
      <c r="K196" s="5">
        <v>6</v>
      </c>
      <c r="L196" s="6">
        <f t="shared" si="7"/>
        <v>0.83333333333333337</v>
      </c>
      <c r="M196" s="5" t="s">
        <v>28</v>
      </c>
      <c r="N196" s="5" t="s">
        <v>61</v>
      </c>
      <c r="O196" s="5">
        <v>1</v>
      </c>
      <c r="P196" s="5">
        <v>60500000</v>
      </c>
      <c r="Q196" s="7" t="s">
        <v>523</v>
      </c>
      <c r="R196" s="5" t="s">
        <v>30</v>
      </c>
      <c r="S196" s="5">
        <v>2</v>
      </c>
      <c r="T196" s="5">
        <v>1</v>
      </c>
      <c r="U196" s="5">
        <v>3.6</v>
      </c>
      <c r="V196" s="5" t="s">
        <v>31</v>
      </c>
      <c r="W196" s="5">
        <v>2</v>
      </c>
      <c r="X196" s="5">
        <v>1</v>
      </c>
      <c r="Y196" s="5" t="s">
        <v>524</v>
      </c>
      <c r="AA196" s="8">
        <v>46312</v>
      </c>
    </row>
    <row r="197" spans="1:27" ht="315" customHeight="1" x14ac:dyDescent="0.2">
      <c r="A197" s="5">
        <v>196</v>
      </c>
      <c r="B197" s="5">
        <v>284989203</v>
      </c>
      <c r="C197" s="5">
        <v>6</v>
      </c>
      <c r="D197" s="5" t="s">
        <v>33</v>
      </c>
      <c r="E197" s="5">
        <v>11</v>
      </c>
      <c r="F197" s="5" t="s">
        <v>525</v>
      </c>
      <c r="G197" s="5">
        <v>901.2</v>
      </c>
      <c r="H197" s="5">
        <f t="shared" si="6"/>
        <v>6.8037272085580893</v>
      </c>
      <c r="I197" s="5"/>
      <c r="J197" s="5">
        <v>8</v>
      </c>
      <c r="K197" s="5">
        <v>8</v>
      </c>
      <c r="L197" s="6">
        <f t="shared" si="7"/>
        <v>1</v>
      </c>
      <c r="M197" s="5"/>
      <c r="N197" s="5" t="s">
        <v>35</v>
      </c>
      <c r="O197" s="5">
        <v>2</v>
      </c>
      <c r="P197" s="5">
        <v>2926619500</v>
      </c>
      <c r="Q197" s="7" t="s">
        <v>526</v>
      </c>
      <c r="R197" s="5" t="s">
        <v>41</v>
      </c>
      <c r="S197" s="5">
        <v>0</v>
      </c>
      <c r="T197" s="5">
        <v>4</v>
      </c>
      <c r="U197" s="5">
        <v>5</v>
      </c>
      <c r="V197" s="5" t="s">
        <v>31</v>
      </c>
      <c r="W197" s="5">
        <v>2</v>
      </c>
      <c r="X197" s="5">
        <v>1</v>
      </c>
      <c r="Y197" s="5" t="s">
        <v>527</v>
      </c>
      <c r="AA197" s="8">
        <v>46312</v>
      </c>
    </row>
    <row r="198" spans="1:27" ht="315" customHeight="1" x14ac:dyDescent="0.2">
      <c r="A198" s="5">
        <v>197</v>
      </c>
      <c r="B198" s="5">
        <v>332295342</v>
      </c>
      <c r="C198" s="5">
        <v>5</v>
      </c>
      <c r="D198" s="5" t="s">
        <v>64</v>
      </c>
      <c r="E198" s="5">
        <v>8</v>
      </c>
      <c r="F198" s="5" t="s">
        <v>116</v>
      </c>
      <c r="G198" s="5">
        <v>209</v>
      </c>
      <c r="H198" s="5">
        <f t="shared" si="6"/>
        <v>5.3423342519648109</v>
      </c>
      <c r="I198" s="5"/>
      <c r="J198" s="5">
        <v>3</v>
      </c>
      <c r="K198" s="5">
        <v>5</v>
      </c>
      <c r="L198" s="6">
        <f t="shared" si="7"/>
        <v>0.6</v>
      </c>
      <c r="M198" s="5" t="s">
        <v>28</v>
      </c>
      <c r="N198" s="5" t="s">
        <v>61</v>
      </c>
      <c r="O198" s="5">
        <v>1</v>
      </c>
      <c r="P198" s="5">
        <v>340000000</v>
      </c>
      <c r="Q198" s="7" t="s">
        <v>117</v>
      </c>
      <c r="R198" s="5" t="s">
        <v>37</v>
      </c>
      <c r="S198" s="5">
        <v>3</v>
      </c>
      <c r="T198" s="5">
        <v>3</v>
      </c>
      <c r="U198" s="5">
        <v>3.2</v>
      </c>
      <c r="V198" s="5" t="s">
        <v>38</v>
      </c>
      <c r="W198" s="5">
        <v>1</v>
      </c>
      <c r="X198" s="5">
        <v>1</v>
      </c>
      <c r="Y198" s="5" t="s">
        <v>528</v>
      </c>
      <c r="AA198" s="8">
        <v>46312</v>
      </c>
    </row>
    <row r="199" spans="1:27" ht="315" customHeight="1" x14ac:dyDescent="0.2">
      <c r="A199" s="5">
        <v>198</v>
      </c>
      <c r="B199" s="5">
        <v>332411856</v>
      </c>
      <c r="C199" s="5">
        <v>2</v>
      </c>
      <c r="D199" s="5" t="s">
        <v>64</v>
      </c>
      <c r="E199" s="5">
        <v>2</v>
      </c>
      <c r="F199" s="5" t="s">
        <v>65</v>
      </c>
      <c r="G199" s="5">
        <v>62</v>
      </c>
      <c r="H199" s="5">
        <f t="shared" si="6"/>
        <v>4.1271343850450917</v>
      </c>
      <c r="I199" s="5">
        <v>39</v>
      </c>
      <c r="J199" s="5">
        <v>4</v>
      </c>
      <c r="K199" s="5">
        <v>8</v>
      </c>
      <c r="L199" s="6">
        <f t="shared" si="7"/>
        <v>0.5</v>
      </c>
      <c r="M199" s="5" t="s">
        <v>66</v>
      </c>
      <c r="N199" s="5" t="s">
        <v>67</v>
      </c>
      <c r="O199" s="5">
        <v>1</v>
      </c>
      <c r="P199" s="5">
        <v>46490000</v>
      </c>
      <c r="Q199" s="7" t="s">
        <v>529</v>
      </c>
      <c r="R199" s="5" t="s">
        <v>30</v>
      </c>
      <c r="S199" s="5">
        <v>2</v>
      </c>
      <c r="T199" s="5">
        <v>1</v>
      </c>
      <c r="U199" s="5"/>
      <c r="V199" s="5"/>
      <c r="W199" s="5"/>
      <c r="X199" s="5">
        <v>1</v>
      </c>
      <c r="Y199" s="5" t="s">
        <v>530</v>
      </c>
      <c r="AA199" s="8">
        <v>46312</v>
      </c>
    </row>
    <row r="200" spans="1:27" ht="315" customHeight="1" x14ac:dyDescent="0.2">
      <c r="A200" s="5">
        <v>199</v>
      </c>
      <c r="B200" s="5">
        <v>332177092</v>
      </c>
      <c r="C200" s="5">
        <v>4</v>
      </c>
      <c r="D200" s="5" t="s">
        <v>64</v>
      </c>
      <c r="E200" s="5">
        <v>9</v>
      </c>
      <c r="F200" s="5" t="s">
        <v>176</v>
      </c>
      <c r="G200" s="5">
        <v>136</v>
      </c>
      <c r="H200" s="5">
        <f t="shared" si="6"/>
        <v>4.9126548857360524</v>
      </c>
      <c r="I200" s="5"/>
      <c r="J200" s="5">
        <v>4</v>
      </c>
      <c r="K200" s="5">
        <v>5</v>
      </c>
      <c r="L200" s="6">
        <f t="shared" si="7"/>
        <v>0.8</v>
      </c>
      <c r="M200" s="5" t="s">
        <v>28</v>
      </c>
      <c r="N200" s="5"/>
      <c r="O200" s="5">
        <v>0</v>
      </c>
      <c r="P200" s="5">
        <v>87500000</v>
      </c>
      <c r="Q200" s="7" t="s">
        <v>531</v>
      </c>
      <c r="R200" s="5" t="s">
        <v>107</v>
      </c>
      <c r="S200" s="5">
        <v>1</v>
      </c>
      <c r="T200" s="5">
        <v>3</v>
      </c>
      <c r="U200" s="5">
        <v>3.3</v>
      </c>
      <c r="V200" s="5" t="s">
        <v>38</v>
      </c>
      <c r="W200" s="5">
        <v>1</v>
      </c>
      <c r="X200" s="5">
        <v>1</v>
      </c>
      <c r="Y200" s="5" t="s">
        <v>532</v>
      </c>
      <c r="AA200" s="8">
        <v>46312</v>
      </c>
    </row>
    <row r="201" spans="1:27" ht="315" customHeight="1" x14ac:dyDescent="0.2">
      <c r="A201" s="5">
        <v>200</v>
      </c>
      <c r="B201" s="5">
        <v>332617828</v>
      </c>
      <c r="C201" s="5">
        <v>2</v>
      </c>
      <c r="D201" s="5" t="s">
        <v>33</v>
      </c>
      <c r="E201" s="5">
        <v>10</v>
      </c>
      <c r="F201" s="5" t="s">
        <v>241</v>
      </c>
      <c r="G201" s="5">
        <v>43.4</v>
      </c>
      <c r="H201" s="5">
        <f t="shared" si="6"/>
        <v>3.7704594411063592</v>
      </c>
      <c r="I201" s="5">
        <v>35</v>
      </c>
      <c r="J201" s="5">
        <v>8</v>
      </c>
      <c r="K201" s="5">
        <v>9</v>
      </c>
      <c r="L201" s="6">
        <f t="shared" si="7"/>
        <v>0.88888888888888884</v>
      </c>
      <c r="M201" s="5" t="s">
        <v>28</v>
      </c>
      <c r="N201" s="5" t="s">
        <v>61</v>
      </c>
      <c r="O201" s="5">
        <v>1</v>
      </c>
      <c r="P201" s="5">
        <v>33000000</v>
      </c>
      <c r="Q201" s="7" t="s">
        <v>533</v>
      </c>
      <c r="R201" s="5" t="s">
        <v>107</v>
      </c>
      <c r="S201" s="5">
        <v>1</v>
      </c>
      <c r="T201" s="5">
        <v>1</v>
      </c>
      <c r="U201" s="5">
        <v>2.6</v>
      </c>
      <c r="V201" s="5" t="s">
        <v>52</v>
      </c>
      <c r="W201" s="5">
        <v>0</v>
      </c>
      <c r="X201" s="5">
        <v>1</v>
      </c>
      <c r="Y201" s="5" t="s">
        <v>534</v>
      </c>
      <c r="AA201" s="8">
        <v>46312</v>
      </c>
    </row>
    <row r="202" spans="1:27" ht="409.5" customHeight="1" x14ac:dyDescent="0.2">
      <c r="A202" s="5">
        <v>201</v>
      </c>
      <c r="B202" s="5">
        <v>334403030</v>
      </c>
      <c r="C202" s="5">
        <v>2</v>
      </c>
      <c r="D202" s="5" t="s">
        <v>54</v>
      </c>
      <c r="E202" s="5">
        <v>10</v>
      </c>
      <c r="F202" s="5" t="s">
        <v>535</v>
      </c>
      <c r="G202" s="5">
        <v>74.3</v>
      </c>
      <c r="H202" s="5">
        <f t="shared" si="6"/>
        <v>4.3081109517237133</v>
      </c>
      <c r="I202" s="5">
        <v>46.1</v>
      </c>
      <c r="J202" s="5">
        <v>7</v>
      </c>
      <c r="K202" s="5">
        <v>10</v>
      </c>
      <c r="L202" s="6">
        <f t="shared" si="7"/>
        <v>0.7</v>
      </c>
      <c r="M202" s="5" t="s">
        <v>28</v>
      </c>
      <c r="N202" s="5" t="s">
        <v>61</v>
      </c>
      <c r="O202" s="5">
        <v>1</v>
      </c>
      <c r="P202" s="5">
        <v>120000000</v>
      </c>
      <c r="Q202" s="7" t="s">
        <v>536</v>
      </c>
      <c r="R202" s="5" t="s">
        <v>37</v>
      </c>
      <c r="S202" s="5">
        <v>3</v>
      </c>
      <c r="T202" s="5">
        <v>2</v>
      </c>
      <c r="U202" s="5">
        <v>3.1</v>
      </c>
      <c r="V202" s="5" t="s">
        <v>38</v>
      </c>
      <c r="W202" s="5">
        <v>1</v>
      </c>
      <c r="X202" s="5">
        <v>1</v>
      </c>
      <c r="Y202" s="5" t="s">
        <v>537</v>
      </c>
      <c r="AA202" s="8">
        <v>46312</v>
      </c>
    </row>
    <row r="203" spans="1:27" ht="409.5" customHeight="1" x14ac:dyDescent="0.2">
      <c r="A203" s="5">
        <v>202</v>
      </c>
      <c r="B203" s="5">
        <v>334418358</v>
      </c>
      <c r="C203" s="5">
        <v>4</v>
      </c>
      <c r="D203" s="5" t="s">
        <v>54</v>
      </c>
      <c r="E203" s="5">
        <v>10</v>
      </c>
      <c r="F203" s="5" t="s">
        <v>535</v>
      </c>
      <c r="G203" s="5">
        <v>131</v>
      </c>
      <c r="H203" s="5">
        <f t="shared" si="6"/>
        <v>4.8751973232011512</v>
      </c>
      <c r="I203" s="5">
        <v>75</v>
      </c>
      <c r="J203" s="5">
        <v>10</v>
      </c>
      <c r="K203" s="5">
        <v>10</v>
      </c>
      <c r="L203" s="6">
        <f t="shared" si="7"/>
        <v>1</v>
      </c>
      <c r="M203" s="5" t="s">
        <v>28</v>
      </c>
      <c r="N203" s="5"/>
      <c r="O203" s="5">
        <v>0</v>
      </c>
      <c r="P203" s="5">
        <v>185000000</v>
      </c>
      <c r="Q203" s="7" t="s">
        <v>538</v>
      </c>
      <c r="R203" s="5" t="s">
        <v>37</v>
      </c>
      <c r="S203" s="5">
        <v>3</v>
      </c>
      <c r="T203" s="5">
        <v>2</v>
      </c>
      <c r="U203" s="5">
        <v>3.1</v>
      </c>
      <c r="V203" s="5" t="s">
        <v>38</v>
      </c>
      <c r="W203" s="5">
        <v>1</v>
      </c>
      <c r="X203" s="5">
        <v>1</v>
      </c>
      <c r="Y203" s="5" t="s">
        <v>539</v>
      </c>
      <c r="AA203" s="8">
        <v>46312</v>
      </c>
    </row>
    <row r="204" spans="1:27" ht="409.5" customHeight="1" x14ac:dyDescent="0.2">
      <c r="A204" s="5">
        <v>203</v>
      </c>
      <c r="B204" s="5">
        <v>334340648</v>
      </c>
      <c r="C204" s="5">
        <v>2</v>
      </c>
      <c r="D204" s="5" t="s">
        <v>64</v>
      </c>
      <c r="E204" s="5">
        <v>2</v>
      </c>
      <c r="F204" s="5" t="s">
        <v>65</v>
      </c>
      <c r="G204" s="5">
        <v>62</v>
      </c>
      <c r="H204" s="5">
        <f t="shared" si="6"/>
        <v>4.1271343850450917</v>
      </c>
      <c r="I204" s="5">
        <v>39</v>
      </c>
      <c r="J204" s="5">
        <v>4</v>
      </c>
      <c r="K204" s="5">
        <v>8</v>
      </c>
      <c r="L204" s="6">
        <f t="shared" si="7"/>
        <v>0.5</v>
      </c>
      <c r="M204" s="5" t="s">
        <v>28</v>
      </c>
      <c r="N204" s="5"/>
      <c r="O204" s="5">
        <v>0</v>
      </c>
      <c r="P204" s="5">
        <v>46490000</v>
      </c>
      <c r="Q204" s="7" t="s">
        <v>540</v>
      </c>
      <c r="R204" s="5" t="s">
        <v>30</v>
      </c>
      <c r="S204" s="5">
        <v>2</v>
      </c>
      <c r="T204" s="5">
        <v>1</v>
      </c>
      <c r="U204" s="5">
        <v>3</v>
      </c>
      <c r="V204" s="5" t="s">
        <v>38</v>
      </c>
      <c r="W204" s="5">
        <v>1</v>
      </c>
      <c r="X204" s="5">
        <v>1</v>
      </c>
      <c r="Y204" s="5" t="s">
        <v>541</v>
      </c>
      <c r="AA204" s="8">
        <v>46312</v>
      </c>
    </row>
    <row r="205" spans="1:27" ht="315" customHeight="1" x14ac:dyDescent="0.2">
      <c r="A205" s="5">
        <v>204</v>
      </c>
      <c r="B205" s="5">
        <v>333091461</v>
      </c>
      <c r="C205" s="5">
        <v>3</v>
      </c>
      <c r="D205" s="5" t="s">
        <v>33</v>
      </c>
      <c r="E205" s="5">
        <v>10</v>
      </c>
      <c r="F205" s="5" t="s">
        <v>93</v>
      </c>
      <c r="G205" s="5">
        <v>61</v>
      </c>
      <c r="H205" s="5">
        <f t="shared" si="6"/>
        <v>4.1108738641733114</v>
      </c>
      <c r="I205" s="5">
        <v>43</v>
      </c>
      <c r="J205" s="5">
        <v>7</v>
      </c>
      <c r="K205" s="5">
        <v>7</v>
      </c>
      <c r="L205" s="6">
        <f t="shared" si="7"/>
        <v>1</v>
      </c>
      <c r="M205" s="5" t="s">
        <v>28</v>
      </c>
      <c r="N205" s="5"/>
      <c r="O205" s="5">
        <v>0</v>
      </c>
      <c r="P205" s="5">
        <v>50500000</v>
      </c>
      <c r="Q205" s="7" t="s">
        <v>542</v>
      </c>
      <c r="R205" s="5" t="s">
        <v>107</v>
      </c>
      <c r="S205" s="5">
        <v>1</v>
      </c>
      <c r="T205" s="5">
        <v>1</v>
      </c>
      <c r="U205" s="5">
        <v>3</v>
      </c>
      <c r="V205" s="5" t="s">
        <v>38</v>
      </c>
      <c r="W205" s="5">
        <v>1</v>
      </c>
      <c r="X205" s="5">
        <v>1</v>
      </c>
      <c r="Y205" s="5" t="s">
        <v>543</v>
      </c>
      <c r="AA205" s="8">
        <v>46312</v>
      </c>
    </row>
    <row r="206" spans="1:27" ht="370.5" customHeight="1" x14ac:dyDescent="0.2">
      <c r="A206" s="5">
        <v>205</v>
      </c>
      <c r="B206" s="5">
        <v>325407789</v>
      </c>
      <c r="C206" s="5">
        <v>3</v>
      </c>
      <c r="D206" s="5" t="s">
        <v>33</v>
      </c>
      <c r="E206" s="5">
        <v>13</v>
      </c>
      <c r="F206" s="5" t="s">
        <v>451</v>
      </c>
      <c r="G206" s="5">
        <v>137.4</v>
      </c>
      <c r="H206" s="5">
        <f t="shared" si="6"/>
        <v>4.9228963797882486</v>
      </c>
      <c r="I206" s="5"/>
      <c r="J206" s="5">
        <v>3</v>
      </c>
      <c r="K206" s="5">
        <v>9</v>
      </c>
      <c r="L206" s="6">
        <f t="shared" si="7"/>
        <v>0.33333333333333331</v>
      </c>
      <c r="M206" s="5" t="s">
        <v>28</v>
      </c>
      <c r="N206" s="5"/>
      <c r="O206" s="5">
        <v>0</v>
      </c>
      <c r="P206" s="5">
        <v>215000000</v>
      </c>
      <c r="Q206" s="7" t="s">
        <v>544</v>
      </c>
      <c r="R206" s="5" t="s">
        <v>37</v>
      </c>
      <c r="S206" s="5">
        <v>3</v>
      </c>
      <c r="T206" s="5">
        <v>3</v>
      </c>
      <c r="U206" s="5">
        <v>3.1</v>
      </c>
      <c r="V206" s="5" t="s">
        <v>38</v>
      </c>
      <c r="W206" s="5">
        <v>1</v>
      </c>
      <c r="X206" s="5">
        <v>1</v>
      </c>
      <c r="Y206" s="5" t="s">
        <v>545</v>
      </c>
      <c r="AA206" s="8">
        <v>46312</v>
      </c>
    </row>
    <row r="207" spans="1:27" ht="370.5" customHeight="1" x14ac:dyDescent="0.2">
      <c r="A207" s="5">
        <v>206</v>
      </c>
      <c r="B207" s="5">
        <v>331624680</v>
      </c>
      <c r="C207" s="5">
        <v>5</v>
      </c>
      <c r="D207" s="5" t="s">
        <v>33</v>
      </c>
      <c r="E207" s="5">
        <v>10</v>
      </c>
      <c r="F207" s="5" t="s">
        <v>546</v>
      </c>
      <c r="G207" s="5">
        <v>242.7</v>
      </c>
      <c r="H207" s="5">
        <f t="shared" si="6"/>
        <v>5.4918261127325554</v>
      </c>
      <c r="I207" s="5"/>
      <c r="J207" s="5">
        <v>3</v>
      </c>
      <c r="K207" s="5">
        <v>7</v>
      </c>
      <c r="L207" s="6">
        <f t="shared" si="7"/>
        <v>0.42857142857142855</v>
      </c>
      <c r="M207" s="5" t="s">
        <v>28</v>
      </c>
      <c r="N207" s="5"/>
      <c r="O207" s="5">
        <v>0</v>
      </c>
      <c r="P207" s="5">
        <v>230000000</v>
      </c>
      <c r="Q207" s="7" t="s">
        <v>547</v>
      </c>
      <c r="R207" s="5"/>
      <c r="S207" s="5"/>
      <c r="T207" s="5">
        <v>2</v>
      </c>
      <c r="U207" s="5"/>
      <c r="V207" s="5"/>
      <c r="W207" s="5"/>
      <c r="X207" s="5">
        <v>1</v>
      </c>
      <c r="Y207" s="5" t="s">
        <v>548</v>
      </c>
      <c r="AA207" s="8">
        <v>46312</v>
      </c>
    </row>
    <row r="208" spans="1:27" ht="357" customHeight="1" x14ac:dyDescent="0.2">
      <c r="A208" s="5">
        <v>207</v>
      </c>
      <c r="B208" s="5">
        <v>332950705</v>
      </c>
      <c r="C208" s="5">
        <v>3</v>
      </c>
      <c r="D208" s="5" t="s">
        <v>549</v>
      </c>
      <c r="E208" s="5">
        <v>10</v>
      </c>
      <c r="F208" s="5" t="s">
        <v>550</v>
      </c>
      <c r="G208" s="5">
        <v>108.6</v>
      </c>
      <c r="H208" s="5">
        <f t="shared" si="6"/>
        <v>4.6876714074998347</v>
      </c>
      <c r="I208" s="5">
        <v>72</v>
      </c>
      <c r="J208" s="5">
        <v>3</v>
      </c>
      <c r="K208" s="5">
        <v>7</v>
      </c>
      <c r="L208" s="6">
        <f t="shared" si="7"/>
        <v>0.42857142857142855</v>
      </c>
      <c r="M208" s="5" t="s">
        <v>28</v>
      </c>
      <c r="N208" s="5" t="s">
        <v>61</v>
      </c>
      <c r="O208" s="5">
        <v>1</v>
      </c>
      <c r="P208" s="5">
        <v>103000000</v>
      </c>
      <c r="Q208" s="7" t="s">
        <v>551</v>
      </c>
      <c r="R208" s="5"/>
      <c r="S208" s="5"/>
      <c r="T208" s="5">
        <v>1</v>
      </c>
      <c r="U208" s="5">
        <v>3.3</v>
      </c>
      <c r="V208" s="5" t="s">
        <v>38</v>
      </c>
      <c r="W208" s="5">
        <v>1</v>
      </c>
      <c r="X208" s="5">
        <v>1</v>
      </c>
      <c r="Y208" s="5" t="s">
        <v>552</v>
      </c>
      <c r="AA208" s="8">
        <v>46312</v>
      </c>
    </row>
    <row r="209" spans="1:27" ht="342.75" customHeight="1" x14ac:dyDescent="0.2">
      <c r="A209" s="5">
        <v>208</v>
      </c>
      <c r="B209" s="5">
        <v>335012855</v>
      </c>
      <c r="C209" s="5">
        <v>4</v>
      </c>
      <c r="D209" s="5" t="s">
        <v>54</v>
      </c>
      <c r="E209" s="5">
        <v>6</v>
      </c>
      <c r="F209" s="5" t="s">
        <v>553</v>
      </c>
      <c r="G209" s="5">
        <v>250</v>
      </c>
      <c r="H209" s="5">
        <f t="shared" si="6"/>
        <v>5.521460917862246</v>
      </c>
      <c r="I209" s="5">
        <v>118</v>
      </c>
      <c r="J209" s="5">
        <v>3</v>
      </c>
      <c r="K209" s="5">
        <v>8</v>
      </c>
      <c r="L209" s="6">
        <f t="shared" si="7"/>
        <v>0.375</v>
      </c>
      <c r="M209" s="5" t="s">
        <v>44</v>
      </c>
      <c r="N209" s="5" t="s">
        <v>554</v>
      </c>
      <c r="O209" s="5"/>
      <c r="P209" s="5">
        <v>500000000</v>
      </c>
      <c r="Q209" s="7" t="s">
        <v>555</v>
      </c>
      <c r="R209" s="5" t="s">
        <v>37</v>
      </c>
      <c r="S209" s="5">
        <v>3</v>
      </c>
      <c r="T209" s="5">
        <v>3</v>
      </c>
      <c r="U209" s="5">
        <v>3.3</v>
      </c>
      <c r="V209" s="5" t="s">
        <v>38</v>
      </c>
      <c r="W209" s="5">
        <v>1</v>
      </c>
      <c r="X209" s="5">
        <v>1</v>
      </c>
      <c r="Y209" s="5" t="s">
        <v>556</v>
      </c>
      <c r="AA209" s="8">
        <v>46312</v>
      </c>
    </row>
    <row r="210" spans="1:27" ht="399" customHeight="1" x14ac:dyDescent="0.2">
      <c r="A210" s="5">
        <v>209</v>
      </c>
      <c r="B210" s="5">
        <v>328450802</v>
      </c>
      <c r="C210" s="5">
        <v>5</v>
      </c>
      <c r="D210" s="5" t="s">
        <v>64</v>
      </c>
      <c r="E210" s="5">
        <v>9</v>
      </c>
      <c r="F210" s="5" t="s">
        <v>301</v>
      </c>
      <c r="G210" s="5">
        <v>300</v>
      </c>
      <c r="H210" s="5">
        <f t="shared" si="6"/>
        <v>5.7037824746562009</v>
      </c>
      <c r="I210" s="5"/>
      <c r="J210" s="5">
        <v>7</v>
      </c>
      <c r="K210" s="5">
        <v>7</v>
      </c>
      <c r="L210" s="6">
        <f t="shared" si="7"/>
        <v>1</v>
      </c>
      <c r="M210" s="5" t="s">
        <v>57</v>
      </c>
      <c r="N210" s="5" t="s">
        <v>35</v>
      </c>
      <c r="O210" s="5">
        <v>2</v>
      </c>
      <c r="P210" s="5">
        <v>900000000</v>
      </c>
      <c r="Q210" s="7" t="s">
        <v>557</v>
      </c>
      <c r="R210" s="5" t="s">
        <v>37</v>
      </c>
      <c r="S210" s="5">
        <v>3</v>
      </c>
      <c r="T210" s="5">
        <v>5</v>
      </c>
      <c r="U210" s="5">
        <v>2.6</v>
      </c>
      <c r="V210" s="5" t="s">
        <v>52</v>
      </c>
      <c r="W210" s="5">
        <v>0</v>
      </c>
      <c r="X210" s="5">
        <v>1</v>
      </c>
      <c r="Y210" s="5" t="s">
        <v>558</v>
      </c>
      <c r="AA210" s="8">
        <v>46312</v>
      </c>
    </row>
    <row r="211" spans="1:27" ht="399" customHeight="1" x14ac:dyDescent="0.2">
      <c r="A211" s="5">
        <v>210</v>
      </c>
      <c r="B211" s="5">
        <v>323834509</v>
      </c>
      <c r="C211" s="5">
        <v>3</v>
      </c>
      <c r="D211" s="5" t="s">
        <v>64</v>
      </c>
      <c r="E211" s="5">
        <v>10</v>
      </c>
      <c r="F211" s="5" t="s">
        <v>233</v>
      </c>
      <c r="G211" s="5">
        <v>90</v>
      </c>
      <c r="H211" s="5">
        <f t="shared" si="6"/>
        <v>4.499809670330265</v>
      </c>
      <c r="I211" s="5"/>
      <c r="J211" s="5">
        <v>2</v>
      </c>
      <c r="K211" s="5">
        <v>7</v>
      </c>
      <c r="L211" s="6">
        <f t="shared" si="7"/>
        <v>0.2857142857142857</v>
      </c>
      <c r="M211" s="5" t="s">
        <v>28</v>
      </c>
      <c r="N211" s="5" t="s">
        <v>61</v>
      </c>
      <c r="O211" s="5">
        <v>1</v>
      </c>
      <c r="P211" s="5">
        <v>80000000</v>
      </c>
      <c r="Q211" s="7" t="s">
        <v>559</v>
      </c>
      <c r="R211" s="5" t="s">
        <v>37</v>
      </c>
      <c r="S211" s="5">
        <v>3</v>
      </c>
      <c r="T211" s="5">
        <v>4</v>
      </c>
      <c r="U211" s="5">
        <v>2.75</v>
      </c>
      <c r="V211" s="5" t="s">
        <v>52</v>
      </c>
      <c r="W211" s="5">
        <v>0</v>
      </c>
      <c r="X211" s="5">
        <v>1</v>
      </c>
      <c r="Y211" s="5" t="s">
        <v>560</v>
      </c>
      <c r="AA211" s="8">
        <v>46312</v>
      </c>
    </row>
    <row r="212" spans="1:27" ht="409.5" customHeight="1" x14ac:dyDescent="0.2">
      <c r="A212" s="5">
        <v>211</v>
      </c>
      <c r="B212" s="5">
        <v>320147431</v>
      </c>
      <c r="C212" s="5">
        <v>6</v>
      </c>
      <c r="D212" s="5" t="s">
        <v>64</v>
      </c>
      <c r="E212" s="5">
        <v>13</v>
      </c>
      <c r="F212" s="5" t="s">
        <v>128</v>
      </c>
      <c r="G212" s="5">
        <v>250</v>
      </c>
      <c r="H212" s="5">
        <f t="shared" si="6"/>
        <v>5.521460917862246</v>
      </c>
      <c r="I212" s="5">
        <v>168</v>
      </c>
      <c r="J212" s="5">
        <v>6</v>
      </c>
      <c r="K212" s="5">
        <v>6</v>
      </c>
      <c r="L212" s="6">
        <f t="shared" si="7"/>
        <v>1</v>
      </c>
      <c r="M212" s="5" t="s">
        <v>28</v>
      </c>
      <c r="N212" s="5" t="s">
        <v>61</v>
      </c>
      <c r="O212" s="5">
        <v>1</v>
      </c>
      <c r="P212" s="5">
        <v>179000000</v>
      </c>
      <c r="Q212" s="7" t="s">
        <v>561</v>
      </c>
      <c r="R212" s="5" t="s">
        <v>37</v>
      </c>
      <c r="S212" s="5">
        <v>3</v>
      </c>
      <c r="T212" s="5">
        <v>8</v>
      </c>
      <c r="U212" s="5">
        <v>3</v>
      </c>
      <c r="V212" s="5" t="s">
        <v>38</v>
      </c>
      <c r="W212" s="5">
        <v>1</v>
      </c>
      <c r="X212" s="5">
        <v>1</v>
      </c>
      <c r="Y212" s="5" t="s">
        <v>562</v>
      </c>
      <c r="AA212" s="8">
        <v>46312</v>
      </c>
    </row>
    <row r="213" spans="1:27" ht="315" customHeight="1" x14ac:dyDescent="0.2">
      <c r="A213" s="5">
        <v>212</v>
      </c>
      <c r="B213" s="5">
        <v>333263779</v>
      </c>
      <c r="C213" s="5">
        <v>2</v>
      </c>
      <c r="D213" s="5" t="s">
        <v>64</v>
      </c>
      <c r="E213" s="5">
        <v>7</v>
      </c>
      <c r="F213" s="5" t="s">
        <v>96</v>
      </c>
      <c r="G213" s="5">
        <v>56</v>
      </c>
      <c r="H213" s="5">
        <f t="shared" si="6"/>
        <v>4.0253516907351496</v>
      </c>
      <c r="I213" s="5">
        <v>38</v>
      </c>
      <c r="J213" s="5">
        <v>6</v>
      </c>
      <c r="K213" s="5">
        <v>6</v>
      </c>
      <c r="L213" s="6">
        <f t="shared" si="7"/>
        <v>1</v>
      </c>
      <c r="M213" s="5" t="s">
        <v>28</v>
      </c>
      <c r="N213" s="5"/>
      <c r="O213" s="5">
        <v>0</v>
      </c>
      <c r="P213" s="5">
        <v>63000000</v>
      </c>
      <c r="Q213" s="7" t="s">
        <v>563</v>
      </c>
      <c r="R213" s="5" t="s">
        <v>107</v>
      </c>
      <c r="S213" s="5">
        <v>1</v>
      </c>
      <c r="T213" s="5">
        <v>1</v>
      </c>
      <c r="U213" s="5">
        <v>3.5</v>
      </c>
      <c r="V213" s="5" t="s">
        <v>38</v>
      </c>
      <c r="W213" s="5">
        <v>1</v>
      </c>
      <c r="X213" s="5">
        <v>1</v>
      </c>
      <c r="Y213" s="5" t="s">
        <v>564</v>
      </c>
      <c r="AA213" s="8">
        <v>46312</v>
      </c>
    </row>
    <row r="214" spans="1:27" ht="409.5" customHeight="1" x14ac:dyDescent="0.2">
      <c r="A214" s="5">
        <v>213</v>
      </c>
      <c r="B214" s="5">
        <v>334707588</v>
      </c>
      <c r="C214" s="5">
        <v>1</v>
      </c>
      <c r="D214" s="5" t="s">
        <v>26</v>
      </c>
      <c r="E214" s="5">
        <v>6</v>
      </c>
      <c r="F214" s="5" t="s">
        <v>272</v>
      </c>
      <c r="G214" s="5">
        <v>39.1</v>
      </c>
      <c r="H214" s="5">
        <f t="shared" si="6"/>
        <v>3.6661224669913199</v>
      </c>
      <c r="I214" s="5">
        <v>22.4</v>
      </c>
      <c r="J214" s="5">
        <v>6</v>
      </c>
      <c r="K214" s="5">
        <v>6</v>
      </c>
      <c r="L214" s="6">
        <f t="shared" si="7"/>
        <v>1</v>
      </c>
      <c r="M214" s="5" t="s">
        <v>66</v>
      </c>
      <c r="N214" s="5"/>
      <c r="O214" s="5">
        <v>0</v>
      </c>
      <c r="P214" s="5">
        <v>39000000</v>
      </c>
      <c r="Q214" s="7" t="s">
        <v>565</v>
      </c>
      <c r="R214" s="5" t="s">
        <v>107</v>
      </c>
      <c r="S214" s="5">
        <v>1</v>
      </c>
      <c r="T214" s="5">
        <v>1</v>
      </c>
      <c r="U214" s="5"/>
      <c r="V214" s="5"/>
      <c r="W214" s="5"/>
      <c r="X214" s="5">
        <v>1</v>
      </c>
      <c r="Y214" s="5" t="s">
        <v>566</v>
      </c>
      <c r="AA214" s="8">
        <v>46312</v>
      </c>
    </row>
    <row r="215" spans="1:27" ht="399" customHeight="1" x14ac:dyDescent="0.2">
      <c r="A215" s="5">
        <v>214</v>
      </c>
      <c r="B215" s="5">
        <v>334973266</v>
      </c>
      <c r="C215" s="5">
        <v>6</v>
      </c>
      <c r="D215" s="5" t="s">
        <v>54</v>
      </c>
      <c r="E215" s="5">
        <v>8</v>
      </c>
      <c r="F215" s="5" t="s">
        <v>567</v>
      </c>
      <c r="G215" s="5">
        <v>154</v>
      </c>
      <c r="H215" s="5">
        <f t="shared" si="6"/>
        <v>5.0369526024136295</v>
      </c>
      <c r="I215" s="5">
        <v>69</v>
      </c>
      <c r="J215" s="5">
        <v>5</v>
      </c>
      <c r="K215" s="5">
        <v>6</v>
      </c>
      <c r="L215" s="6">
        <f t="shared" si="7"/>
        <v>0.83333333333333337</v>
      </c>
      <c r="M215" s="5" t="s">
        <v>28</v>
      </c>
      <c r="N215" s="5"/>
      <c r="O215" s="5">
        <v>0</v>
      </c>
      <c r="P215" s="5">
        <v>250000000</v>
      </c>
      <c r="Q215" s="7" t="s">
        <v>568</v>
      </c>
      <c r="R215" s="5" t="s">
        <v>37</v>
      </c>
      <c r="S215" s="5">
        <v>3</v>
      </c>
      <c r="T215" s="5">
        <v>1</v>
      </c>
      <c r="U215" s="5"/>
      <c r="V215" s="5"/>
      <c r="W215" s="5"/>
      <c r="X215" s="5">
        <v>1</v>
      </c>
      <c r="Y215" s="5" t="s">
        <v>569</v>
      </c>
      <c r="AA215" s="8">
        <v>46312</v>
      </c>
    </row>
    <row r="216" spans="1:27" ht="15" customHeight="1" x14ac:dyDescent="0.2">
      <c r="A216" s="5">
        <v>215</v>
      </c>
      <c r="B216" s="5">
        <v>334216703</v>
      </c>
      <c r="C216" s="5">
        <v>3</v>
      </c>
      <c r="D216" s="5" t="s">
        <v>26</v>
      </c>
      <c r="E216" s="5">
        <v>12</v>
      </c>
      <c r="F216" s="5" t="s">
        <v>309</v>
      </c>
      <c r="G216" s="5">
        <v>150</v>
      </c>
      <c r="H216" s="5">
        <f t="shared" si="6"/>
        <v>5.0106352940962555</v>
      </c>
      <c r="I216" s="5">
        <v>85</v>
      </c>
      <c r="J216" s="5">
        <v>4</v>
      </c>
      <c r="K216" s="5">
        <v>6</v>
      </c>
      <c r="L216" s="6">
        <f t="shared" si="7"/>
        <v>0.66666666666666663</v>
      </c>
      <c r="M216" s="5" t="s">
        <v>28</v>
      </c>
      <c r="N216" s="5" t="s">
        <v>67</v>
      </c>
      <c r="O216" s="5">
        <v>1</v>
      </c>
      <c r="P216" s="5">
        <v>200000000</v>
      </c>
      <c r="Q216" s="7" t="s">
        <v>310</v>
      </c>
      <c r="R216" s="5" t="s">
        <v>37</v>
      </c>
      <c r="S216" s="5">
        <v>3</v>
      </c>
      <c r="T216" s="5">
        <v>2</v>
      </c>
      <c r="U216" s="5">
        <v>3.2</v>
      </c>
      <c r="V216" s="5" t="s">
        <v>38</v>
      </c>
      <c r="W216" s="5">
        <v>1</v>
      </c>
      <c r="X216" s="5">
        <v>1</v>
      </c>
      <c r="Y216" s="5" t="s">
        <v>570</v>
      </c>
      <c r="AA216" s="8">
        <v>46312</v>
      </c>
    </row>
    <row r="217" spans="1:27" ht="328.5" customHeight="1" x14ac:dyDescent="0.2">
      <c r="A217" s="5">
        <v>216</v>
      </c>
      <c r="B217" s="5">
        <v>324623215</v>
      </c>
      <c r="C217" s="5">
        <v>5</v>
      </c>
      <c r="D217" s="5" t="s">
        <v>54</v>
      </c>
      <c r="E217" s="5">
        <v>7</v>
      </c>
      <c r="F217" s="5" t="s">
        <v>134</v>
      </c>
      <c r="G217" s="5">
        <v>350</v>
      </c>
      <c r="H217" s="5">
        <f t="shared" si="6"/>
        <v>5.857933154483459</v>
      </c>
      <c r="I217" s="5">
        <v>112</v>
      </c>
      <c r="J217" s="5">
        <v>5</v>
      </c>
      <c r="K217" s="5">
        <v>7</v>
      </c>
      <c r="L217" s="6">
        <f t="shared" si="7"/>
        <v>0.7142857142857143</v>
      </c>
      <c r="M217" s="5" t="s">
        <v>44</v>
      </c>
      <c r="N217" s="5" t="s">
        <v>35</v>
      </c>
      <c r="O217" s="5">
        <v>2</v>
      </c>
      <c r="P217" s="5">
        <v>999000000</v>
      </c>
      <c r="Q217" s="7" t="s">
        <v>571</v>
      </c>
      <c r="R217" s="5" t="s">
        <v>37</v>
      </c>
      <c r="S217" s="5">
        <v>3</v>
      </c>
      <c r="T217" s="5">
        <v>6</v>
      </c>
      <c r="U217" s="5">
        <v>3.2</v>
      </c>
      <c r="V217" s="5" t="s">
        <v>38</v>
      </c>
      <c r="W217" s="5">
        <v>1</v>
      </c>
      <c r="X217" s="5">
        <v>1</v>
      </c>
      <c r="Y217" s="5" t="s">
        <v>572</v>
      </c>
      <c r="AA217" s="8">
        <v>46312</v>
      </c>
    </row>
    <row r="218" spans="1:27" ht="409.5" customHeight="1" x14ac:dyDescent="0.2">
      <c r="A218" s="5">
        <v>217</v>
      </c>
      <c r="B218" s="5">
        <v>327290040</v>
      </c>
      <c r="C218" s="5">
        <v>2</v>
      </c>
      <c r="D218" s="5" t="s">
        <v>64</v>
      </c>
      <c r="E218" s="5">
        <v>10</v>
      </c>
      <c r="F218" s="5" t="s">
        <v>573</v>
      </c>
      <c r="G218" s="5">
        <v>75.2</v>
      </c>
      <c r="H218" s="5">
        <f t="shared" si="6"/>
        <v>4.3201512309557941</v>
      </c>
      <c r="I218" s="5">
        <v>52</v>
      </c>
      <c r="J218" s="5">
        <v>3</v>
      </c>
      <c r="K218" s="5">
        <v>5</v>
      </c>
      <c r="L218" s="6">
        <f t="shared" si="7"/>
        <v>0.6</v>
      </c>
      <c r="M218" s="5" t="s">
        <v>28</v>
      </c>
      <c r="N218" s="5" t="s">
        <v>61</v>
      </c>
      <c r="O218" s="5">
        <v>1</v>
      </c>
      <c r="P218" s="5">
        <v>70000000</v>
      </c>
      <c r="Q218" s="7" t="s">
        <v>574</v>
      </c>
      <c r="R218" s="5" t="s">
        <v>37</v>
      </c>
      <c r="S218" s="5">
        <v>3</v>
      </c>
      <c r="T218" s="5">
        <v>2</v>
      </c>
      <c r="U218" s="5">
        <v>3.2</v>
      </c>
      <c r="V218" s="5" t="s">
        <v>38</v>
      </c>
      <c r="W218" s="5">
        <v>1</v>
      </c>
      <c r="X218" s="5">
        <v>1</v>
      </c>
      <c r="Y218" s="5" t="s">
        <v>575</v>
      </c>
      <c r="AA218" s="8">
        <v>46312</v>
      </c>
    </row>
    <row r="219" spans="1:27" ht="15" customHeight="1" x14ac:dyDescent="0.2">
      <c r="A219" s="5">
        <v>218</v>
      </c>
      <c r="B219" s="5">
        <v>331289794</v>
      </c>
      <c r="C219" s="5">
        <v>4</v>
      </c>
      <c r="D219" s="5" t="s">
        <v>33</v>
      </c>
      <c r="E219" s="5">
        <v>13</v>
      </c>
      <c r="F219" s="5" t="s">
        <v>34</v>
      </c>
      <c r="G219" s="5">
        <v>163.5</v>
      </c>
      <c r="H219" s="5">
        <f t="shared" si="6"/>
        <v>5.0968129903373081</v>
      </c>
      <c r="I219" s="5">
        <v>86.6</v>
      </c>
      <c r="J219" s="5">
        <v>2</v>
      </c>
      <c r="K219" s="5">
        <v>6</v>
      </c>
      <c r="L219" s="6">
        <f t="shared" si="7"/>
        <v>0.33333333333333331</v>
      </c>
      <c r="M219" s="5" t="s">
        <v>57</v>
      </c>
      <c r="N219" s="5" t="s">
        <v>35</v>
      </c>
      <c r="O219" s="5">
        <v>2</v>
      </c>
      <c r="P219" s="5">
        <v>445000000</v>
      </c>
      <c r="Q219" s="7" t="s">
        <v>576</v>
      </c>
      <c r="R219" s="5" t="s">
        <v>41</v>
      </c>
      <c r="S219" s="5">
        <v>0</v>
      </c>
      <c r="T219" s="5">
        <v>4</v>
      </c>
      <c r="U219" s="5">
        <v>3.2</v>
      </c>
      <c r="V219" s="5" t="s">
        <v>38</v>
      </c>
      <c r="W219" s="5">
        <v>1</v>
      </c>
      <c r="X219" s="5">
        <v>1</v>
      </c>
      <c r="Y219" s="5" t="s">
        <v>577</v>
      </c>
      <c r="AA219" s="8">
        <v>46312</v>
      </c>
    </row>
    <row r="220" spans="1:27" ht="357" customHeight="1" x14ac:dyDescent="0.2">
      <c r="A220" s="5">
        <v>219</v>
      </c>
      <c r="B220" s="5">
        <v>333336239</v>
      </c>
      <c r="C220" s="5">
        <v>4</v>
      </c>
      <c r="D220" s="5" t="s">
        <v>54</v>
      </c>
      <c r="E220" s="5">
        <v>8</v>
      </c>
      <c r="F220" s="5" t="s">
        <v>173</v>
      </c>
      <c r="G220" s="5">
        <v>119.3</v>
      </c>
      <c r="H220" s="5">
        <f t="shared" si="6"/>
        <v>4.78164132910387</v>
      </c>
      <c r="I220" s="5">
        <v>76</v>
      </c>
      <c r="J220" s="5">
        <v>2</v>
      </c>
      <c r="K220" s="5">
        <v>4</v>
      </c>
      <c r="L220" s="6">
        <f t="shared" si="7"/>
        <v>0.5</v>
      </c>
      <c r="M220" s="5" t="s">
        <v>28</v>
      </c>
      <c r="N220" s="5" t="s">
        <v>61</v>
      </c>
      <c r="O220" s="5">
        <v>1</v>
      </c>
      <c r="P220" s="5">
        <v>105000000</v>
      </c>
      <c r="Q220" s="7" t="s">
        <v>578</v>
      </c>
      <c r="R220" s="5" t="s">
        <v>37</v>
      </c>
      <c r="S220" s="5">
        <v>3</v>
      </c>
      <c r="T220" s="5">
        <v>2</v>
      </c>
      <c r="U220" s="5">
        <v>3.3</v>
      </c>
      <c r="V220" s="5" t="s">
        <v>38</v>
      </c>
      <c r="W220" s="5">
        <v>1</v>
      </c>
      <c r="X220" s="5">
        <v>1</v>
      </c>
      <c r="Y220" s="5" t="s">
        <v>579</v>
      </c>
      <c r="AA220" s="8">
        <v>46312</v>
      </c>
    </row>
    <row r="221" spans="1:27" ht="15" customHeight="1" x14ac:dyDescent="0.2">
      <c r="A221" s="5">
        <v>220</v>
      </c>
      <c r="B221" s="5">
        <v>334174258</v>
      </c>
      <c r="C221" s="5">
        <v>3</v>
      </c>
      <c r="D221" s="5" t="s">
        <v>26</v>
      </c>
      <c r="E221" s="5">
        <v>8</v>
      </c>
      <c r="F221" s="5" t="s">
        <v>186</v>
      </c>
      <c r="G221" s="5">
        <v>60.5</v>
      </c>
      <c r="H221" s="5">
        <f t="shared" si="6"/>
        <v>4.1026433650367959</v>
      </c>
      <c r="I221" s="5">
        <v>39.200000000000003</v>
      </c>
      <c r="J221" s="5">
        <v>3</v>
      </c>
      <c r="K221" s="5">
        <v>4</v>
      </c>
      <c r="L221" s="6">
        <f t="shared" si="7"/>
        <v>0.75</v>
      </c>
      <c r="M221" s="5" t="s">
        <v>28</v>
      </c>
      <c r="N221" s="5" t="s">
        <v>61</v>
      </c>
      <c r="O221" s="5">
        <v>1</v>
      </c>
      <c r="P221" s="5">
        <v>45000000</v>
      </c>
      <c r="Q221" s="7" t="s">
        <v>580</v>
      </c>
      <c r="R221" s="5" t="s">
        <v>107</v>
      </c>
      <c r="S221" s="5">
        <v>1</v>
      </c>
      <c r="T221" s="5">
        <v>1</v>
      </c>
      <c r="U221" s="5">
        <v>3.2</v>
      </c>
      <c r="V221" s="5" t="s">
        <v>38</v>
      </c>
      <c r="W221" s="5">
        <v>1</v>
      </c>
      <c r="X221" s="5">
        <v>1</v>
      </c>
      <c r="Y221" s="5" t="s">
        <v>581</v>
      </c>
      <c r="AA221" s="8">
        <v>46312</v>
      </c>
    </row>
    <row r="222" spans="1:27" ht="270.75" customHeight="1" x14ac:dyDescent="0.2">
      <c r="A222" s="5">
        <v>221</v>
      </c>
      <c r="B222" s="5">
        <v>329097744</v>
      </c>
      <c r="C222" s="5">
        <v>5</v>
      </c>
      <c r="D222" s="5" t="s">
        <v>54</v>
      </c>
      <c r="E222" s="5">
        <v>8</v>
      </c>
      <c r="F222" s="5" t="s">
        <v>287</v>
      </c>
      <c r="G222" s="5">
        <v>171</v>
      </c>
      <c r="H222" s="5">
        <f t="shared" si="6"/>
        <v>5.1416635565026603</v>
      </c>
      <c r="I222" s="5">
        <v>121</v>
      </c>
      <c r="J222" s="5">
        <v>2</v>
      </c>
      <c r="K222" s="5">
        <v>4</v>
      </c>
      <c r="L222" s="6">
        <f t="shared" si="7"/>
        <v>0.5</v>
      </c>
      <c r="M222" s="5"/>
      <c r="N222" s="5"/>
      <c r="O222" s="5">
        <v>0</v>
      </c>
      <c r="P222" s="5">
        <v>155000000</v>
      </c>
      <c r="Q222" s="7" t="s">
        <v>582</v>
      </c>
      <c r="R222" s="5" t="s">
        <v>37</v>
      </c>
      <c r="S222" s="5">
        <v>3</v>
      </c>
      <c r="T222" s="5">
        <v>4</v>
      </c>
      <c r="U222" s="5"/>
      <c r="V222" s="5"/>
      <c r="W222" s="5"/>
      <c r="X222" s="5">
        <v>1</v>
      </c>
      <c r="Y222" s="5" t="s">
        <v>583</v>
      </c>
      <c r="AA222" s="8">
        <v>46312</v>
      </c>
    </row>
    <row r="223" spans="1:27" ht="342.75" customHeight="1" x14ac:dyDescent="0.2">
      <c r="A223" s="5">
        <v>222</v>
      </c>
      <c r="B223" s="5">
        <v>328052141</v>
      </c>
      <c r="C223" s="5">
        <v>4</v>
      </c>
      <c r="D223" s="5" t="s">
        <v>64</v>
      </c>
      <c r="E223" s="5">
        <v>2</v>
      </c>
      <c r="F223" s="5" t="s">
        <v>65</v>
      </c>
      <c r="G223" s="5">
        <v>114</v>
      </c>
      <c r="H223" s="5">
        <f t="shared" si="6"/>
        <v>4.7361984483944957</v>
      </c>
      <c r="I223" s="5">
        <v>84</v>
      </c>
      <c r="J223" s="5">
        <v>4</v>
      </c>
      <c r="K223" s="5">
        <v>7</v>
      </c>
      <c r="L223" s="6">
        <f t="shared" si="7"/>
        <v>0.5714285714285714</v>
      </c>
      <c r="M223" s="5" t="s">
        <v>28</v>
      </c>
      <c r="N223" s="5" t="s">
        <v>35</v>
      </c>
      <c r="O223" s="5">
        <v>2</v>
      </c>
      <c r="P223" s="5">
        <v>67000000</v>
      </c>
      <c r="Q223" s="7" t="s">
        <v>584</v>
      </c>
      <c r="R223" s="5" t="s">
        <v>37</v>
      </c>
      <c r="S223" s="5">
        <v>3</v>
      </c>
      <c r="T223" s="5">
        <v>2</v>
      </c>
      <c r="U223" s="5">
        <v>3.3</v>
      </c>
      <c r="V223" s="5" t="s">
        <v>38</v>
      </c>
      <c r="W223" s="5">
        <v>1</v>
      </c>
      <c r="X223" s="5">
        <v>1</v>
      </c>
      <c r="Y223" s="5" t="s">
        <v>585</v>
      </c>
      <c r="AA223" s="8">
        <v>46312</v>
      </c>
    </row>
    <row r="224" spans="1:27" ht="285.75" customHeight="1" x14ac:dyDescent="0.2">
      <c r="A224" s="5">
        <v>223</v>
      </c>
      <c r="B224" s="5">
        <v>333736627</v>
      </c>
      <c r="C224" s="5">
        <v>3</v>
      </c>
      <c r="D224" s="5" t="s">
        <v>54</v>
      </c>
      <c r="E224" s="5">
        <v>11</v>
      </c>
      <c r="F224" s="5" t="s">
        <v>99</v>
      </c>
      <c r="G224" s="5">
        <v>115</v>
      </c>
      <c r="H224" s="5">
        <f t="shared" si="6"/>
        <v>4.7449321283632502</v>
      </c>
      <c r="I224" s="5"/>
      <c r="J224" s="5">
        <v>5</v>
      </c>
      <c r="K224" s="5">
        <v>5</v>
      </c>
      <c r="L224" s="6">
        <f t="shared" si="7"/>
        <v>1</v>
      </c>
      <c r="M224" s="5" t="s">
        <v>28</v>
      </c>
      <c r="N224" s="5" t="s">
        <v>61</v>
      </c>
      <c r="O224" s="5">
        <v>1</v>
      </c>
      <c r="P224" s="5">
        <v>137000000</v>
      </c>
      <c r="Q224" s="7" t="s">
        <v>586</v>
      </c>
      <c r="R224" s="5" t="s">
        <v>37</v>
      </c>
      <c r="S224" s="5">
        <v>3</v>
      </c>
      <c r="T224" s="5">
        <v>2</v>
      </c>
      <c r="U224" s="5">
        <v>3.5</v>
      </c>
      <c r="V224" s="5" t="s">
        <v>38</v>
      </c>
      <c r="W224" s="5">
        <v>1</v>
      </c>
      <c r="X224" s="5">
        <v>1</v>
      </c>
      <c r="Y224" s="5" t="s">
        <v>587</v>
      </c>
      <c r="AA224" s="8">
        <v>46312</v>
      </c>
    </row>
    <row r="225" spans="1:27" ht="270.75" customHeight="1" x14ac:dyDescent="0.2">
      <c r="A225" s="5">
        <v>224</v>
      </c>
      <c r="B225" s="5">
        <v>324878193</v>
      </c>
      <c r="C225" s="5">
        <v>4</v>
      </c>
      <c r="D225" s="5" t="s">
        <v>54</v>
      </c>
      <c r="E225" s="5">
        <v>13</v>
      </c>
      <c r="F225" s="5" t="s">
        <v>34</v>
      </c>
      <c r="G225" s="5">
        <v>227.5</v>
      </c>
      <c r="H225" s="5">
        <f t="shared" si="6"/>
        <v>5.4271502383910049</v>
      </c>
      <c r="I225" s="5"/>
      <c r="J225" s="5">
        <v>3</v>
      </c>
      <c r="K225" s="5">
        <v>9</v>
      </c>
      <c r="L225" s="6">
        <f t="shared" si="7"/>
        <v>0.33333333333333331</v>
      </c>
      <c r="M225" s="5" t="s">
        <v>28</v>
      </c>
      <c r="N225" s="5" t="s">
        <v>35</v>
      </c>
      <c r="O225" s="5">
        <v>2</v>
      </c>
      <c r="P225" s="5">
        <v>650000000</v>
      </c>
      <c r="Q225" s="7" t="s">
        <v>588</v>
      </c>
      <c r="R225" s="5" t="s">
        <v>37</v>
      </c>
      <c r="S225" s="5">
        <v>3</v>
      </c>
      <c r="T225" s="5"/>
      <c r="U225" s="5">
        <v>3.3</v>
      </c>
      <c r="V225" s="5" t="s">
        <v>38</v>
      </c>
      <c r="W225" s="5">
        <v>1</v>
      </c>
      <c r="X225" s="5">
        <v>1</v>
      </c>
      <c r="Y225" s="5" t="s">
        <v>589</v>
      </c>
      <c r="AA225" s="8">
        <v>46312</v>
      </c>
    </row>
    <row r="226" spans="1:27" ht="342.75" customHeight="1" x14ac:dyDescent="0.2">
      <c r="A226" s="5">
        <v>225</v>
      </c>
      <c r="B226" s="5">
        <v>332880340</v>
      </c>
      <c r="C226" s="5">
        <v>5</v>
      </c>
      <c r="D226" s="5" t="s">
        <v>64</v>
      </c>
      <c r="E226" s="5">
        <v>9</v>
      </c>
      <c r="F226" s="5" t="s">
        <v>134</v>
      </c>
      <c r="G226" s="5">
        <v>350</v>
      </c>
      <c r="H226" s="5">
        <f t="shared" si="6"/>
        <v>5.857933154483459</v>
      </c>
      <c r="I226" s="5">
        <v>250</v>
      </c>
      <c r="J226" s="5">
        <v>5</v>
      </c>
      <c r="K226" s="5">
        <v>7</v>
      </c>
      <c r="L226" s="6">
        <f t="shared" si="7"/>
        <v>0.7142857142857143</v>
      </c>
      <c r="M226" s="5" t="s">
        <v>44</v>
      </c>
      <c r="N226" s="5" t="s">
        <v>35</v>
      </c>
      <c r="O226" s="5">
        <v>2</v>
      </c>
      <c r="P226" s="5">
        <v>998999999</v>
      </c>
      <c r="Q226" s="7" t="s">
        <v>166</v>
      </c>
      <c r="R226" s="5" t="s">
        <v>37</v>
      </c>
      <c r="S226" s="5">
        <v>3</v>
      </c>
      <c r="T226" s="5">
        <v>6</v>
      </c>
      <c r="U226" s="5">
        <v>3.2</v>
      </c>
      <c r="V226" s="5" t="s">
        <v>38</v>
      </c>
      <c r="W226" s="5">
        <v>1</v>
      </c>
      <c r="X226" s="5">
        <v>1</v>
      </c>
      <c r="Y226" s="5" t="s">
        <v>590</v>
      </c>
      <c r="AA226" s="8">
        <v>46312</v>
      </c>
    </row>
    <row r="227" spans="1:27" ht="300.75" customHeight="1" x14ac:dyDescent="0.2">
      <c r="A227" s="5">
        <v>226</v>
      </c>
      <c r="B227" s="5">
        <v>330445034</v>
      </c>
      <c r="C227" s="5">
        <v>3</v>
      </c>
      <c r="D227" s="5" t="s">
        <v>54</v>
      </c>
      <c r="E227" s="5">
        <v>6</v>
      </c>
      <c r="F227" s="5" t="s">
        <v>176</v>
      </c>
      <c r="G227" s="5">
        <v>135.80000000000001</v>
      </c>
      <c r="H227" s="5">
        <f t="shared" si="6"/>
        <v>4.9111832151245958</v>
      </c>
      <c r="I227" s="5">
        <v>100</v>
      </c>
      <c r="J227" s="5">
        <v>4</v>
      </c>
      <c r="K227" s="5">
        <v>5</v>
      </c>
      <c r="L227" s="6">
        <f t="shared" si="7"/>
        <v>0.8</v>
      </c>
      <c r="M227" s="5" t="s">
        <v>28</v>
      </c>
      <c r="N227" s="5"/>
      <c r="O227" s="5">
        <v>0</v>
      </c>
      <c r="P227" s="5">
        <v>87500000</v>
      </c>
      <c r="Q227" s="7" t="s">
        <v>591</v>
      </c>
      <c r="R227" s="5" t="s">
        <v>107</v>
      </c>
      <c r="S227" s="5">
        <v>1</v>
      </c>
      <c r="T227" s="5">
        <v>2</v>
      </c>
      <c r="U227" s="5">
        <v>3.2</v>
      </c>
      <c r="V227" s="5" t="s">
        <v>38</v>
      </c>
      <c r="W227" s="5">
        <v>1</v>
      </c>
      <c r="X227" s="5">
        <v>1</v>
      </c>
      <c r="Y227" s="5" t="s">
        <v>592</v>
      </c>
      <c r="AA227" s="8">
        <v>46312</v>
      </c>
    </row>
    <row r="228" spans="1:27" ht="15" customHeight="1" x14ac:dyDescent="0.2">
      <c r="A228" s="5">
        <v>227</v>
      </c>
      <c r="B228" s="5">
        <v>329878263</v>
      </c>
      <c r="C228" s="5">
        <v>2</v>
      </c>
      <c r="D228" s="5" t="s">
        <v>54</v>
      </c>
      <c r="E228" s="5">
        <v>6</v>
      </c>
      <c r="F228" s="5" t="s">
        <v>593</v>
      </c>
      <c r="G228" s="5">
        <v>58.6</v>
      </c>
      <c r="H228" s="5">
        <f t="shared" si="6"/>
        <v>4.0707346965829672</v>
      </c>
      <c r="I228" s="5">
        <v>37.4</v>
      </c>
      <c r="J228" s="5">
        <v>3</v>
      </c>
      <c r="K228" s="5">
        <v>7</v>
      </c>
      <c r="L228" s="6">
        <f t="shared" si="7"/>
        <v>0.42857142857142855</v>
      </c>
      <c r="M228" s="5" t="s">
        <v>28</v>
      </c>
      <c r="N228" s="5" t="s">
        <v>61</v>
      </c>
      <c r="O228" s="5">
        <v>1</v>
      </c>
      <c r="P228" s="5">
        <v>53000000</v>
      </c>
      <c r="Q228" s="7" t="s">
        <v>594</v>
      </c>
      <c r="R228" s="5" t="s">
        <v>107</v>
      </c>
      <c r="S228" s="5">
        <v>1</v>
      </c>
      <c r="T228" s="5">
        <v>1</v>
      </c>
      <c r="U228" s="5">
        <v>3.2</v>
      </c>
      <c r="V228" s="5" t="s">
        <v>38</v>
      </c>
      <c r="W228" s="5">
        <v>1</v>
      </c>
      <c r="X228" s="5">
        <v>1</v>
      </c>
      <c r="Y228" s="5" t="s">
        <v>595</v>
      </c>
      <c r="AA228" s="8">
        <v>46312</v>
      </c>
    </row>
    <row r="229" spans="1:27" ht="409.5" customHeight="1" x14ac:dyDescent="0.2">
      <c r="A229" s="5">
        <v>228</v>
      </c>
      <c r="B229" s="5">
        <v>333460745</v>
      </c>
      <c r="C229" s="5">
        <v>2</v>
      </c>
      <c r="D229" s="5" t="s">
        <v>54</v>
      </c>
      <c r="E229" s="5">
        <v>8</v>
      </c>
      <c r="F229" s="5" t="s">
        <v>567</v>
      </c>
      <c r="G229" s="5">
        <v>54</v>
      </c>
      <c r="H229" s="5">
        <f t="shared" si="6"/>
        <v>3.9889840465642745</v>
      </c>
      <c r="I229" s="5">
        <v>28.3</v>
      </c>
      <c r="J229" s="5">
        <v>2</v>
      </c>
      <c r="K229" s="5">
        <v>6</v>
      </c>
      <c r="L229" s="6">
        <f t="shared" si="7"/>
        <v>0.33333333333333331</v>
      </c>
      <c r="M229" s="5" t="s">
        <v>28</v>
      </c>
      <c r="N229" s="5" t="s">
        <v>61</v>
      </c>
      <c r="O229" s="5">
        <v>1</v>
      </c>
      <c r="P229" s="5">
        <v>54000000</v>
      </c>
      <c r="Q229" s="7" t="s">
        <v>596</v>
      </c>
      <c r="R229" s="5" t="s">
        <v>107</v>
      </c>
      <c r="S229" s="5">
        <v>1</v>
      </c>
      <c r="T229" s="5">
        <v>1</v>
      </c>
      <c r="U229" s="5">
        <v>2.7</v>
      </c>
      <c r="V229" s="5" t="s">
        <v>52</v>
      </c>
      <c r="W229" s="5">
        <v>0</v>
      </c>
      <c r="X229" s="5">
        <v>1</v>
      </c>
      <c r="Y229" s="5" t="s">
        <v>597</v>
      </c>
      <c r="AA229" s="8">
        <v>46312</v>
      </c>
    </row>
    <row r="230" spans="1:27" ht="195.75" customHeight="1" x14ac:dyDescent="0.2">
      <c r="A230" s="5">
        <v>229</v>
      </c>
      <c r="B230" s="5">
        <v>331746600</v>
      </c>
      <c r="C230" s="5">
        <v>3</v>
      </c>
      <c r="D230" s="5" t="s">
        <v>54</v>
      </c>
      <c r="E230" s="5">
        <v>7</v>
      </c>
      <c r="F230" s="5" t="s">
        <v>598</v>
      </c>
      <c r="G230" s="5">
        <v>110</v>
      </c>
      <c r="H230" s="5">
        <f t="shared" si="6"/>
        <v>4.7004803657924166</v>
      </c>
      <c r="I230" s="5">
        <v>80</v>
      </c>
      <c r="J230" s="5">
        <v>5</v>
      </c>
      <c r="K230" s="5">
        <v>5</v>
      </c>
      <c r="L230" s="6">
        <f t="shared" si="7"/>
        <v>1</v>
      </c>
      <c r="M230" s="5" t="s">
        <v>57</v>
      </c>
      <c r="N230" s="5" t="s">
        <v>35</v>
      </c>
      <c r="O230" s="5">
        <v>2</v>
      </c>
      <c r="P230" s="5">
        <v>120000000</v>
      </c>
      <c r="Q230" s="7" t="s">
        <v>599</v>
      </c>
      <c r="R230" s="5" t="s">
        <v>37</v>
      </c>
      <c r="S230" s="5">
        <v>3</v>
      </c>
      <c r="T230" s="5">
        <v>2</v>
      </c>
      <c r="U230" s="5">
        <v>3.4</v>
      </c>
      <c r="V230" s="5" t="s">
        <v>38</v>
      </c>
      <c r="W230" s="5">
        <v>1</v>
      </c>
      <c r="X230" s="5">
        <v>1</v>
      </c>
      <c r="Y230" s="5" t="s">
        <v>600</v>
      </c>
      <c r="AA230" s="8">
        <v>46312</v>
      </c>
    </row>
    <row r="231" spans="1:27" ht="357" customHeight="1" x14ac:dyDescent="0.2">
      <c r="A231" s="5">
        <v>230</v>
      </c>
      <c r="B231" s="5">
        <v>327741094</v>
      </c>
      <c r="C231" s="5">
        <v>4</v>
      </c>
      <c r="D231" s="5" t="s">
        <v>54</v>
      </c>
      <c r="E231" s="5">
        <v>9</v>
      </c>
      <c r="F231" s="5" t="s">
        <v>444</v>
      </c>
      <c r="G231" s="5">
        <v>152.69999999999999</v>
      </c>
      <c r="H231" s="5">
        <f t="shared" si="6"/>
        <v>5.0284752122245866</v>
      </c>
      <c r="I231" s="5"/>
      <c r="J231" s="5">
        <v>3</v>
      </c>
      <c r="K231" s="5">
        <v>6</v>
      </c>
      <c r="L231" s="6">
        <f t="shared" si="7"/>
        <v>0.5</v>
      </c>
      <c r="M231" s="5" t="s">
        <v>44</v>
      </c>
      <c r="N231" s="5" t="s">
        <v>35</v>
      </c>
      <c r="O231" s="5">
        <v>2</v>
      </c>
      <c r="P231" s="5">
        <v>420000000</v>
      </c>
      <c r="Q231" s="7" t="s">
        <v>601</v>
      </c>
      <c r="R231" s="5" t="s">
        <v>41</v>
      </c>
      <c r="S231" s="5">
        <v>0</v>
      </c>
      <c r="T231" s="5">
        <v>2</v>
      </c>
      <c r="U231" s="5">
        <v>3.5</v>
      </c>
      <c r="V231" s="5" t="s">
        <v>38</v>
      </c>
      <c r="W231" s="5">
        <v>1</v>
      </c>
      <c r="X231" s="5">
        <v>1</v>
      </c>
      <c r="Y231" s="5" t="s">
        <v>602</v>
      </c>
      <c r="AA231" s="8">
        <v>46312</v>
      </c>
    </row>
    <row r="232" spans="1:27" ht="15" customHeight="1" x14ac:dyDescent="0.2">
      <c r="A232" s="5">
        <v>231</v>
      </c>
      <c r="B232" s="5">
        <v>333734839</v>
      </c>
      <c r="C232" s="5">
        <v>4</v>
      </c>
      <c r="D232" s="5" t="s">
        <v>26</v>
      </c>
      <c r="E232" s="5">
        <v>6</v>
      </c>
      <c r="F232" s="5" t="s">
        <v>272</v>
      </c>
      <c r="G232" s="5">
        <v>88.2</v>
      </c>
      <c r="H232" s="5">
        <f t="shared" si="6"/>
        <v>4.4796069630127455</v>
      </c>
      <c r="I232" s="5">
        <v>49</v>
      </c>
      <c r="J232" s="5">
        <v>6</v>
      </c>
      <c r="K232" s="5">
        <v>6</v>
      </c>
      <c r="L232" s="6">
        <f t="shared" si="7"/>
        <v>1</v>
      </c>
      <c r="M232" s="5" t="s">
        <v>28</v>
      </c>
      <c r="N232" s="5" t="s">
        <v>61</v>
      </c>
      <c r="O232" s="5">
        <v>1</v>
      </c>
      <c r="P232" s="5">
        <v>90000000</v>
      </c>
      <c r="Q232" s="7" t="s">
        <v>603</v>
      </c>
      <c r="R232" s="5" t="s">
        <v>30</v>
      </c>
      <c r="S232" s="5">
        <v>2</v>
      </c>
      <c r="T232" s="5">
        <v>2</v>
      </c>
      <c r="U232" s="5">
        <v>3.3</v>
      </c>
      <c r="V232" s="5" t="s">
        <v>38</v>
      </c>
      <c r="W232" s="5">
        <v>1</v>
      </c>
      <c r="X232" s="5">
        <v>1</v>
      </c>
      <c r="Y232" s="5" t="s">
        <v>604</v>
      </c>
      <c r="AA232" s="8">
        <v>46312</v>
      </c>
    </row>
    <row r="233" spans="1:27" ht="328.5" customHeight="1" x14ac:dyDescent="0.2">
      <c r="A233" s="5">
        <v>232</v>
      </c>
      <c r="B233" s="5">
        <v>330176776</v>
      </c>
      <c r="C233" s="5">
        <v>4</v>
      </c>
      <c r="D233" s="5" t="s">
        <v>33</v>
      </c>
      <c r="E233" s="5">
        <v>11</v>
      </c>
      <c r="F233" s="5" t="s">
        <v>605</v>
      </c>
      <c r="G233" s="5">
        <v>136</v>
      </c>
      <c r="H233" s="5">
        <f t="shared" si="6"/>
        <v>4.9126548857360524</v>
      </c>
      <c r="I233" s="5"/>
      <c r="J233" s="5">
        <v>6</v>
      </c>
      <c r="K233" s="5">
        <v>6</v>
      </c>
      <c r="L233" s="6">
        <f t="shared" si="7"/>
        <v>1</v>
      </c>
      <c r="M233" s="5" t="s">
        <v>28</v>
      </c>
      <c r="N233" s="5" t="s">
        <v>61</v>
      </c>
      <c r="O233" s="5">
        <v>1</v>
      </c>
      <c r="P233" s="5">
        <v>99999000</v>
      </c>
      <c r="Q233" s="7" t="s">
        <v>606</v>
      </c>
      <c r="R233" s="5" t="s">
        <v>107</v>
      </c>
      <c r="S233" s="5">
        <v>1</v>
      </c>
      <c r="T233" s="5">
        <v>2</v>
      </c>
      <c r="U233" s="5"/>
      <c r="V233" s="5"/>
      <c r="W233" s="5"/>
      <c r="X233" s="5">
        <v>1</v>
      </c>
      <c r="Y233" s="5" t="s">
        <v>607</v>
      </c>
      <c r="AA233" s="8">
        <v>46312</v>
      </c>
    </row>
    <row r="234" spans="1:27" ht="328.5" customHeight="1" x14ac:dyDescent="0.2">
      <c r="A234" s="5">
        <v>233</v>
      </c>
      <c r="B234" s="5">
        <v>197214440</v>
      </c>
      <c r="C234" s="5">
        <v>6</v>
      </c>
      <c r="D234" s="5" t="s">
        <v>33</v>
      </c>
      <c r="E234" s="5">
        <v>11</v>
      </c>
      <c r="F234" s="5" t="s">
        <v>525</v>
      </c>
      <c r="G234" s="5">
        <v>950</v>
      </c>
      <c r="H234" s="5">
        <f t="shared" si="6"/>
        <v>6.8564619845945867</v>
      </c>
      <c r="I234" s="5"/>
      <c r="J234" s="5">
        <v>8</v>
      </c>
      <c r="K234" s="5">
        <v>8</v>
      </c>
      <c r="L234" s="6">
        <f t="shared" si="7"/>
        <v>1</v>
      </c>
      <c r="M234" s="5" t="s">
        <v>57</v>
      </c>
      <c r="N234" s="5" t="s">
        <v>35</v>
      </c>
      <c r="O234" s="5">
        <v>2</v>
      </c>
      <c r="P234" s="5">
        <v>2926619500</v>
      </c>
      <c r="Q234" s="7" t="s">
        <v>608</v>
      </c>
      <c r="R234" s="5" t="s">
        <v>41</v>
      </c>
      <c r="S234" s="5">
        <v>0</v>
      </c>
      <c r="T234" s="5">
        <v>8</v>
      </c>
      <c r="U234" s="5"/>
      <c r="V234" s="5"/>
      <c r="W234" s="5"/>
      <c r="X234" s="5">
        <v>1</v>
      </c>
      <c r="Y234" s="5" t="s">
        <v>609</v>
      </c>
      <c r="AA234" s="8">
        <v>46312</v>
      </c>
    </row>
    <row r="235" spans="1:27" ht="409.5" customHeight="1" x14ac:dyDescent="0.2">
      <c r="A235" s="5">
        <v>234</v>
      </c>
      <c r="B235" s="5">
        <v>331770555</v>
      </c>
      <c r="C235" s="5">
        <v>3</v>
      </c>
      <c r="D235" s="5" t="s">
        <v>64</v>
      </c>
      <c r="E235" s="5">
        <v>13</v>
      </c>
      <c r="F235" s="5" t="s">
        <v>154</v>
      </c>
      <c r="G235" s="5">
        <v>109.2</v>
      </c>
      <c r="H235" s="5">
        <f t="shared" si="6"/>
        <v>4.6931810633108046</v>
      </c>
      <c r="I235" s="5"/>
      <c r="J235" s="5">
        <v>2</v>
      </c>
      <c r="K235" s="5">
        <v>5</v>
      </c>
      <c r="L235" s="6">
        <f t="shared" si="7"/>
        <v>0.4</v>
      </c>
      <c r="M235" s="5" t="s">
        <v>28</v>
      </c>
      <c r="N235" s="5" t="s">
        <v>61</v>
      </c>
      <c r="O235" s="5">
        <v>1</v>
      </c>
      <c r="P235" s="5">
        <v>75000000</v>
      </c>
      <c r="Q235" s="7" t="s">
        <v>610</v>
      </c>
      <c r="R235" s="5" t="s">
        <v>37</v>
      </c>
      <c r="S235" s="5">
        <v>3</v>
      </c>
      <c r="T235" s="5">
        <v>1</v>
      </c>
      <c r="U235" s="5">
        <v>3.4</v>
      </c>
      <c r="V235" s="5" t="s">
        <v>38</v>
      </c>
      <c r="W235" s="5">
        <v>1</v>
      </c>
      <c r="X235" s="5">
        <v>1</v>
      </c>
      <c r="Y235" s="5" t="s">
        <v>611</v>
      </c>
      <c r="AA235" s="8">
        <v>46312</v>
      </c>
    </row>
    <row r="236" spans="1:27" ht="409.5" customHeight="1" x14ac:dyDescent="0.2">
      <c r="A236" s="5">
        <v>235</v>
      </c>
      <c r="B236" s="5">
        <v>329229301</v>
      </c>
      <c r="C236" s="5">
        <v>4</v>
      </c>
      <c r="D236" s="5" t="s">
        <v>64</v>
      </c>
      <c r="E236" s="5">
        <v>2</v>
      </c>
      <c r="F236" s="5" t="s">
        <v>65</v>
      </c>
      <c r="G236" s="5">
        <v>99.1</v>
      </c>
      <c r="H236" s="5">
        <f t="shared" si="6"/>
        <v>4.5961294413359424</v>
      </c>
      <c r="I236" s="5"/>
      <c r="J236" s="5">
        <v>2</v>
      </c>
      <c r="K236" s="5">
        <v>8</v>
      </c>
      <c r="L236" s="6">
        <f t="shared" si="7"/>
        <v>0.25</v>
      </c>
      <c r="M236" s="5" t="s">
        <v>28</v>
      </c>
      <c r="N236" s="5" t="s">
        <v>61</v>
      </c>
      <c r="O236" s="5">
        <v>1</v>
      </c>
      <c r="P236" s="5">
        <v>66000000</v>
      </c>
      <c r="Q236" s="7" t="s">
        <v>612</v>
      </c>
      <c r="R236" s="5" t="s">
        <v>30</v>
      </c>
      <c r="S236" s="5">
        <v>2</v>
      </c>
      <c r="T236" s="5">
        <v>1</v>
      </c>
      <c r="U236" s="5">
        <v>3.5</v>
      </c>
      <c r="V236" s="5" t="s">
        <v>38</v>
      </c>
      <c r="W236" s="5">
        <v>1</v>
      </c>
      <c r="X236" s="5">
        <v>1</v>
      </c>
      <c r="Y236" s="5" t="s">
        <v>613</v>
      </c>
      <c r="AA236" s="8">
        <v>46312</v>
      </c>
    </row>
    <row r="237" spans="1:27" ht="409.5" customHeight="1" x14ac:dyDescent="0.2">
      <c r="A237" s="5">
        <v>236</v>
      </c>
      <c r="B237" s="5">
        <v>334674625</v>
      </c>
      <c r="C237" s="5">
        <v>3</v>
      </c>
      <c r="D237" s="5" t="s">
        <v>64</v>
      </c>
      <c r="E237" s="5">
        <v>7</v>
      </c>
      <c r="F237" s="5" t="s">
        <v>191</v>
      </c>
      <c r="G237" s="5">
        <v>74.5</v>
      </c>
      <c r="H237" s="5">
        <f t="shared" si="6"/>
        <v>4.3107991253855138</v>
      </c>
      <c r="I237" s="5">
        <v>39.700000000000003</v>
      </c>
      <c r="J237" s="5">
        <v>10</v>
      </c>
      <c r="K237" s="5">
        <v>10</v>
      </c>
      <c r="L237" s="6">
        <f t="shared" si="7"/>
        <v>1</v>
      </c>
      <c r="M237" s="5" t="s">
        <v>28</v>
      </c>
      <c r="N237" s="5" t="s">
        <v>61</v>
      </c>
      <c r="O237" s="5">
        <v>1</v>
      </c>
      <c r="P237" s="5">
        <v>55500000</v>
      </c>
      <c r="Q237" s="7" t="s">
        <v>614</v>
      </c>
      <c r="R237" s="5" t="s">
        <v>37</v>
      </c>
      <c r="S237" s="5">
        <v>3</v>
      </c>
      <c r="T237" s="5">
        <v>1</v>
      </c>
      <c r="U237" s="5">
        <v>2.8</v>
      </c>
      <c r="V237" s="5" t="s">
        <v>52</v>
      </c>
      <c r="W237" s="5">
        <v>0</v>
      </c>
      <c r="X237" s="5">
        <v>1</v>
      </c>
      <c r="Y237" s="5" t="s">
        <v>615</v>
      </c>
      <c r="AA237" s="8">
        <v>46312</v>
      </c>
    </row>
    <row r="238" spans="1:27" ht="409.5" customHeight="1" x14ac:dyDescent="0.2">
      <c r="A238" s="5">
        <v>237</v>
      </c>
      <c r="B238" s="5">
        <v>326247329</v>
      </c>
      <c r="C238" s="5">
        <v>3</v>
      </c>
      <c r="D238" s="5" t="s">
        <v>26</v>
      </c>
      <c r="E238" s="5">
        <v>8</v>
      </c>
      <c r="F238" s="5" t="s">
        <v>204</v>
      </c>
      <c r="G238" s="5">
        <v>90.3</v>
      </c>
      <c r="H238" s="5">
        <f t="shared" si="6"/>
        <v>4.5031374604229395</v>
      </c>
      <c r="I238" s="5">
        <v>72</v>
      </c>
      <c r="J238" s="5">
        <v>10</v>
      </c>
      <c r="K238" s="5">
        <v>17</v>
      </c>
      <c r="L238" s="6">
        <f t="shared" si="7"/>
        <v>0.58823529411764708</v>
      </c>
      <c r="M238" s="5" t="s">
        <v>28</v>
      </c>
      <c r="N238" s="5" t="s">
        <v>61</v>
      </c>
      <c r="O238" s="5">
        <v>1</v>
      </c>
      <c r="P238" s="5">
        <v>119000000</v>
      </c>
      <c r="Q238" s="7" t="s">
        <v>616</v>
      </c>
      <c r="R238" s="5" t="s">
        <v>37</v>
      </c>
      <c r="S238" s="5">
        <v>3</v>
      </c>
      <c r="T238" s="5">
        <v>1</v>
      </c>
      <c r="U238" s="5">
        <v>2.8</v>
      </c>
      <c r="V238" s="5" t="s">
        <v>52</v>
      </c>
      <c r="W238" s="5">
        <v>0</v>
      </c>
      <c r="X238" s="5">
        <v>1</v>
      </c>
      <c r="Y238" s="5" t="s">
        <v>617</v>
      </c>
      <c r="AA238" s="8">
        <v>46312</v>
      </c>
    </row>
    <row r="239" spans="1:27" ht="409.5" customHeight="1" x14ac:dyDescent="0.2">
      <c r="A239" s="5">
        <v>238</v>
      </c>
      <c r="B239" s="5">
        <v>334596821</v>
      </c>
      <c r="C239" s="5">
        <v>3</v>
      </c>
      <c r="D239" s="5" t="s">
        <v>26</v>
      </c>
      <c r="E239" s="5">
        <v>10</v>
      </c>
      <c r="F239" s="5" t="s">
        <v>43</v>
      </c>
      <c r="G239" s="5">
        <v>137.1</v>
      </c>
      <c r="H239" s="5">
        <f t="shared" si="6"/>
        <v>4.9207105865682683</v>
      </c>
      <c r="I239" s="5">
        <v>75</v>
      </c>
      <c r="J239" s="5">
        <v>2</v>
      </c>
      <c r="K239" s="5">
        <v>7</v>
      </c>
      <c r="L239" s="6">
        <f t="shared" si="7"/>
        <v>0.2857142857142857</v>
      </c>
      <c r="M239" s="5" t="s">
        <v>57</v>
      </c>
      <c r="N239" s="5" t="s">
        <v>35</v>
      </c>
      <c r="O239" s="5">
        <v>2</v>
      </c>
      <c r="P239" s="5">
        <v>520000000</v>
      </c>
      <c r="Q239" s="7" t="s">
        <v>618</v>
      </c>
      <c r="R239" s="5" t="s">
        <v>37</v>
      </c>
      <c r="S239" s="5">
        <v>3</v>
      </c>
      <c r="T239" s="5">
        <v>3</v>
      </c>
      <c r="U239" s="5">
        <v>3.45</v>
      </c>
      <c r="V239" s="5" t="s">
        <v>38</v>
      </c>
      <c r="W239" s="5">
        <v>1</v>
      </c>
      <c r="X239" s="5">
        <v>1</v>
      </c>
      <c r="Y239" s="5" t="s">
        <v>619</v>
      </c>
      <c r="AA239" s="8">
        <v>46312</v>
      </c>
    </row>
    <row r="240" spans="1:27" ht="300.75" customHeight="1" x14ac:dyDescent="0.2">
      <c r="A240" s="5">
        <v>239</v>
      </c>
      <c r="B240" s="5">
        <v>303296227</v>
      </c>
      <c r="C240" s="5">
        <v>3</v>
      </c>
      <c r="D240" s="5" t="s">
        <v>54</v>
      </c>
      <c r="E240" s="5">
        <v>9</v>
      </c>
      <c r="F240" s="5" t="s">
        <v>620</v>
      </c>
      <c r="G240" s="5">
        <v>62</v>
      </c>
      <c r="H240" s="5">
        <f t="shared" si="6"/>
        <v>4.1271343850450917</v>
      </c>
      <c r="I240" s="5">
        <v>48</v>
      </c>
      <c r="J240" s="5">
        <v>2</v>
      </c>
      <c r="K240" s="5">
        <v>6</v>
      </c>
      <c r="L240" s="6">
        <f t="shared" si="7"/>
        <v>0.33333333333333331</v>
      </c>
      <c r="M240" s="5" t="s">
        <v>28</v>
      </c>
      <c r="N240" s="5"/>
      <c r="O240" s="5">
        <v>0</v>
      </c>
      <c r="P240" s="5">
        <v>55000000</v>
      </c>
      <c r="Q240" s="7" t="s">
        <v>621</v>
      </c>
      <c r="R240" s="5" t="s">
        <v>37</v>
      </c>
      <c r="S240" s="5">
        <v>3</v>
      </c>
      <c r="T240" s="5">
        <v>2</v>
      </c>
      <c r="U240" s="5">
        <v>3.3</v>
      </c>
      <c r="V240" s="5" t="s">
        <v>38</v>
      </c>
      <c r="W240" s="5">
        <v>1</v>
      </c>
      <c r="X240" s="5">
        <v>1</v>
      </c>
      <c r="Y240" s="5" t="s">
        <v>622</v>
      </c>
      <c r="AA240" s="8">
        <v>46312</v>
      </c>
    </row>
    <row r="241" spans="1:27" ht="15" customHeight="1" x14ac:dyDescent="0.2">
      <c r="A241" s="5">
        <v>240</v>
      </c>
      <c r="B241" s="5">
        <v>169514704</v>
      </c>
      <c r="C241" s="5">
        <v>3</v>
      </c>
      <c r="D241" s="5" t="s">
        <v>54</v>
      </c>
      <c r="E241" s="5">
        <v>13</v>
      </c>
      <c r="F241" s="5" t="s">
        <v>623</v>
      </c>
      <c r="G241" s="5">
        <v>90</v>
      </c>
      <c r="H241" s="5">
        <f t="shared" si="6"/>
        <v>4.499809670330265</v>
      </c>
      <c r="I241" s="5">
        <v>60</v>
      </c>
      <c r="J241" s="5">
        <v>1</v>
      </c>
      <c r="K241" s="5">
        <v>6</v>
      </c>
      <c r="L241" s="6">
        <f t="shared" si="7"/>
        <v>0.16666666666666666</v>
      </c>
      <c r="M241" s="5" t="s">
        <v>28</v>
      </c>
      <c r="N241" s="5" t="s">
        <v>61</v>
      </c>
      <c r="O241" s="5">
        <v>1</v>
      </c>
      <c r="P241" s="5">
        <v>63000000</v>
      </c>
      <c r="Q241" s="7" t="s">
        <v>624</v>
      </c>
      <c r="R241" s="5" t="s">
        <v>37</v>
      </c>
      <c r="S241" s="5">
        <v>3</v>
      </c>
      <c r="T241" s="5">
        <v>1</v>
      </c>
      <c r="U241" s="5">
        <v>4</v>
      </c>
      <c r="V241" s="5" t="s">
        <v>31</v>
      </c>
      <c r="W241" s="5">
        <v>2</v>
      </c>
      <c r="X241" s="5">
        <v>1</v>
      </c>
      <c r="Y241" s="5" t="s">
        <v>625</v>
      </c>
      <c r="AA241" s="8">
        <v>46312</v>
      </c>
    </row>
    <row r="242" spans="1:27" ht="409.5" customHeight="1" x14ac:dyDescent="0.2">
      <c r="A242" s="5">
        <v>241</v>
      </c>
      <c r="B242" s="5">
        <v>331769970</v>
      </c>
      <c r="C242" s="5">
        <v>2</v>
      </c>
      <c r="D242" s="5" t="s">
        <v>26</v>
      </c>
      <c r="E242" s="5">
        <v>8</v>
      </c>
      <c r="F242" s="5" t="s">
        <v>87</v>
      </c>
      <c r="G242" s="5">
        <v>75</v>
      </c>
      <c r="H242" s="5">
        <f t="shared" si="6"/>
        <v>4.3174881135363101</v>
      </c>
      <c r="I242" s="5"/>
      <c r="J242" s="5">
        <v>3</v>
      </c>
      <c r="K242" s="5">
        <v>9</v>
      </c>
      <c r="L242" s="6">
        <f t="shared" si="7"/>
        <v>0.33333333333333331</v>
      </c>
      <c r="M242" s="5"/>
      <c r="N242" s="5"/>
      <c r="O242" s="5">
        <v>0</v>
      </c>
      <c r="P242" s="5">
        <v>77200000</v>
      </c>
      <c r="Q242" s="7" t="s">
        <v>626</v>
      </c>
      <c r="R242" s="5"/>
      <c r="S242" s="5"/>
      <c r="T242" s="5"/>
      <c r="U242" s="5"/>
      <c r="V242" s="5"/>
      <c r="W242" s="5"/>
      <c r="X242" s="5">
        <v>1</v>
      </c>
      <c r="Y242" s="5" t="s">
        <v>627</v>
      </c>
      <c r="AA242" s="8">
        <v>46312</v>
      </c>
    </row>
    <row r="243" spans="1:27" ht="165.75" customHeight="1" x14ac:dyDescent="0.2">
      <c r="A243" s="5">
        <v>242</v>
      </c>
      <c r="B243" s="5">
        <v>332279527</v>
      </c>
      <c r="C243" s="5">
        <v>4</v>
      </c>
      <c r="D243" s="5" t="s">
        <v>64</v>
      </c>
      <c r="E243" s="5">
        <v>8</v>
      </c>
      <c r="F243" s="5" t="s">
        <v>116</v>
      </c>
      <c r="G243" s="5">
        <v>188.5</v>
      </c>
      <c r="H243" s="5">
        <f t="shared" si="6"/>
        <v>5.2390980068880655</v>
      </c>
      <c r="I243" s="5"/>
      <c r="J243" s="5">
        <v>5</v>
      </c>
      <c r="K243" s="5">
        <v>5</v>
      </c>
      <c r="L243" s="6">
        <f t="shared" si="7"/>
        <v>1</v>
      </c>
      <c r="M243" s="5" t="s">
        <v>28</v>
      </c>
      <c r="N243" s="5"/>
      <c r="O243" s="5">
        <v>0</v>
      </c>
      <c r="P243" s="5">
        <v>250853100</v>
      </c>
      <c r="Q243" s="7" t="s">
        <v>628</v>
      </c>
      <c r="R243" s="5" t="s">
        <v>37</v>
      </c>
      <c r="S243" s="5">
        <v>3</v>
      </c>
      <c r="T243" s="5">
        <v>3</v>
      </c>
      <c r="U243" s="5">
        <v>3.4</v>
      </c>
      <c r="V243" s="5" t="s">
        <v>38</v>
      </c>
      <c r="W243" s="5">
        <v>1</v>
      </c>
      <c r="X243" s="5">
        <v>1</v>
      </c>
      <c r="Y243" s="5" t="s">
        <v>629</v>
      </c>
      <c r="AA243" s="8">
        <v>46312</v>
      </c>
    </row>
    <row r="244" spans="1:27" ht="409.5" customHeight="1" x14ac:dyDescent="0.2">
      <c r="A244" s="5">
        <v>243</v>
      </c>
      <c r="B244" s="5">
        <v>333224495</v>
      </c>
      <c r="C244" s="5">
        <v>2</v>
      </c>
      <c r="D244" s="5" t="s">
        <v>64</v>
      </c>
      <c r="E244" s="5">
        <v>11</v>
      </c>
      <c r="F244" s="5" t="s">
        <v>304</v>
      </c>
      <c r="G244" s="5">
        <v>64.900000000000006</v>
      </c>
      <c r="H244" s="5">
        <f t="shared" si="6"/>
        <v>4.1728476237100445</v>
      </c>
      <c r="I244" s="5"/>
      <c r="J244" s="5">
        <v>4</v>
      </c>
      <c r="K244" s="5">
        <v>6</v>
      </c>
      <c r="L244" s="6">
        <f t="shared" si="7"/>
        <v>0.66666666666666663</v>
      </c>
      <c r="M244" s="5"/>
      <c r="N244" s="5" t="s">
        <v>61</v>
      </c>
      <c r="O244" s="5">
        <v>1</v>
      </c>
      <c r="P244" s="5">
        <v>75000000</v>
      </c>
      <c r="Q244" s="7" t="s">
        <v>630</v>
      </c>
      <c r="R244" s="5" t="s">
        <v>37</v>
      </c>
      <c r="S244" s="5">
        <v>3</v>
      </c>
      <c r="T244" s="5">
        <v>2</v>
      </c>
      <c r="U244" s="5">
        <v>3.3</v>
      </c>
      <c r="V244" s="5" t="s">
        <v>38</v>
      </c>
      <c r="W244" s="5">
        <v>1</v>
      </c>
      <c r="X244" s="5">
        <v>1</v>
      </c>
      <c r="Y244" s="5" t="s">
        <v>631</v>
      </c>
      <c r="AA244" s="8">
        <v>46312</v>
      </c>
    </row>
    <row r="245" spans="1:27" ht="328.5" customHeight="1" x14ac:dyDescent="0.2">
      <c r="A245" s="5">
        <v>244</v>
      </c>
      <c r="B245" s="5">
        <v>334499822</v>
      </c>
      <c r="C245" s="5"/>
      <c r="D245" s="5" t="s">
        <v>33</v>
      </c>
      <c r="E245" s="5">
        <v>11</v>
      </c>
      <c r="F245" s="5" t="s">
        <v>525</v>
      </c>
      <c r="G245" s="5">
        <v>901</v>
      </c>
      <c r="H245" s="5">
        <f t="shared" si="6"/>
        <v>6.8035052576083377</v>
      </c>
      <c r="I245" s="5"/>
      <c r="J245" s="5">
        <v>8</v>
      </c>
      <c r="K245" s="5">
        <v>8</v>
      </c>
      <c r="L245" s="6">
        <f t="shared" si="7"/>
        <v>1</v>
      </c>
      <c r="M245" s="5" t="s">
        <v>28</v>
      </c>
      <c r="N245" s="5" t="s">
        <v>35</v>
      </c>
      <c r="O245" s="5">
        <v>2</v>
      </c>
      <c r="P245" s="5">
        <v>2926619500</v>
      </c>
      <c r="Q245" s="7" t="s">
        <v>632</v>
      </c>
      <c r="R245" s="5" t="s">
        <v>41</v>
      </c>
      <c r="S245" s="5">
        <v>0</v>
      </c>
      <c r="T245" s="5">
        <v>6</v>
      </c>
      <c r="U245" s="5">
        <v>5</v>
      </c>
      <c r="V245" s="5" t="s">
        <v>31</v>
      </c>
      <c r="W245" s="5">
        <v>2</v>
      </c>
      <c r="X245" s="5">
        <v>1</v>
      </c>
      <c r="Y245" s="5" t="s">
        <v>633</v>
      </c>
      <c r="AA245" s="8">
        <v>46312</v>
      </c>
    </row>
    <row r="246" spans="1:27" ht="270.75" customHeight="1" x14ac:dyDescent="0.2">
      <c r="A246" s="5">
        <v>245</v>
      </c>
      <c r="B246" s="5">
        <v>334540155</v>
      </c>
      <c r="C246" s="5">
        <v>3</v>
      </c>
      <c r="D246" s="5" t="s">
        <v>54</v>
      </c>
      <c r="E246" s="5">
        <v>7</v>
      </c>
      <c r="F246" s="5" t="s">
        <v>186</v>
      </c>
      <c r="G246" s="5">
        <v>60</v>
      </c>
      <c r="H246" s="5">
        <f t="shared" si="6"/>
        <v>4.0943445622221004</v>
      </c>
      <c r="I246" s="5">
        <v>39.200000000000003</v>
      </c>
      <c r="J246" s="5">
        <v>2</v>
      </c>
      <c r="K246" s="5">
        <v>4</v>
      </c>
      <c r="L246" s="6">
        <f t="shared" si="7"/>
        <v>0.5</v>
      </c>
      <c r="M246" s="5" t="s">
        <v>28</v>
      </c>
      <c r="N246" s="5" t="s">
        <v>61</v>
      </c>
      <c r="O246" s="5">
        <v>1</v>
      </c>
      <c r="P246" s="5">
        <v>46500000</v>
      </c>
      <c r="Q246" s="7" t="s">
        <v>634</v>
      </c>
      <c r="R246" s="5" t="s">
        <v>41</v>
      </c>
      <c r="S246" s="5">
        <v>0</v>
      </c>
      <c r="T246" s="5">
        <v>1</v>
      </c>
      <c r="U246" s="5">
        <v>3.5</v>
      </c>
      <c r="V246" s="5" t="s">
        <v>38</v>
      </c>
      <c r="W246" s="5">
        <v>1</v>
      </c>
      <c r="X246" s="5">
        <v>1</v>
      </c>
      <c r="Y246" s="5" t="s">
        <v>635</v>
      </c>
      <c r="AA246" s="8">
        <v>46312</v>
      </c>
    </row>
    <row r="247" spans="1:27" ht="315" customHeight="1" x14ac:dyDescent="0.2">
      <c r="A247" s="5">
        <v>246</v>
      </c>
      <c r="B247" s="5">
        <v>326140851</v>
      </c>
      <c r="C247" s="5">
        <v>6</v>
      </c>
      <c r="D247" s="5" t="s">
        <v>33</v>
      </c>
      <c r="E247" s="5">
        <v>11</v>
      </c>
      <c r="F247" s="5" t="s">
        <v>525</v>
      </c>
      <c r="G247" s="5">
        <v>901.2</v>
      </c>
      <c r="H247" s="5">
        <f t="shared" si="6"/>
        <v>6.8037272085580893</v>
      </c>
      <c r="I247" s="5">
        <v>500</v>
      </c>
      <c r="J247" s="5">
        <v>8</v>
      </c>
      <c r="K247" s="5">
        <v>8</v>
      </c>
      <c r="L247" s="6">
        <f t="shared" si="7"/>
        <v>1</v>
      </c>
      <c r="M247" s="5" t="s">
        <v>28</v>
      </c>
      <c r="N247" s="5" t="s">
        <v>35</v>
      </c>
      <c r="O247" s="5">
        <v>2</v>
      </c>
      <c r="P247" s="5">
        <v>2926619500</v>
      </c>
      <c r="Q247" s="7" t="s">
        <v>636</v>
      </c>
      <c r="R247" s="5" t="s">
        <v>41</v>
      </c>
      <c r="S247" s="5">
        <v>0</v>
      </c>
      <c r="T247" s="5">
        <v>7</v>
      </c>
      <c r="U247" s="5">
        <v>5</v>
      </c>
      <c r="V247" s="5" t="s">
        <v>31</v>
      </c>
      <c r="W247" s="5">
        <v>2</v>
      </c>
      <c r="X247" s="5">
        <v>1</v>
      </c>
      <c r="Y247" s="5" t="s">
        <v>637</v>
      </c>
      <c r="AA247" s="8">
        <v>46312</v>
      </c>
    </row>
    <row r="248" spans="1:27" ht="370.5" customHeight="1" x14ac:dyDescent="0.2">
      <c r="A248" s="5">
        <v>247</v>
      </c>
      <c r="B248" s="5">
        <v>313191706</v>
      </c>
      <c r="C248" s="5">
        <v>4</v>
      </c>
      <c r="D248" s="5" t="s">
        <v>54</v>
      </c>
      <c r="E248" s="5">
        <v>7</v>
      </c>
      <c r="F248" s="5" t="s">
        <v>301</v>
      </c>
      <c r="G248" s="5">
        <v>261</v>
      </c>
      <c r="H248" s="5">
        <f t="shared" si="6"/>
        <v>5.5645204073226937</v>
      </c>
      <c r="I248" s="5"/>
      <c r="J248" s="5">
        <v>5</v>
      </c>
      <c r="K248" s="5">
        <v>6</v>
      </c>
      <c r="L248" s="6">
        <f t="shared" si="7"/>
        <v>0.83333333333333337</v>
      </c>
      <c r="M248" s="5" t="s">
        <v>57</v>
      </c>
      <c r="N248" s="5" t="s">
        <v>35</v>
      </c>
      <c r="O248" s="5">
        <v>2</v>
      </c>
      <c r="P248" s="5">
        <v>317747260</v>
      </c>
      <c r="Q248" s="7" t="s">
        <v>638</v>
      </c>
      <c r="R248" s="5" t="s">
        <v>37</v>
      </c>
      <c r="S248" s="5">
        <v>3</v>
      </c>
      <c r="T248" s="5"/>
      <c r="U248" s="5">
        <v>3.4</v>
      </c>
      <c r="V248" s="5" t="s">
        <v>38</v>
      </c>
      <c r="W248" s="5">
        <v>1</v>
      </c>
      <c r="X248" s="5">
        <v>1</v>
      </c>
      <c r="Y248" s="5" t="s">
        <v>639</v>
      </c>
      <c r="AA248" s="8">
        <v>46312</v>
      </c>
    </row>
    <row r="249" spans="1:27" ht="120.75" customHeight="1" x14ac:dyDescent="0.2">
      <c r="A249" s="5">
        <v>248</v>
      </c>
      <c r="B249" s="5">
        <v>332910251</v>
      </c>
      <c r="C249" s="5">
        <v>6</v>
      </c>
      <c r="D249" s="5" t="s">
        <v>26</v>
      </c>
      <c r="E249" s="5">
        <v>9</v>
      </c>
      <c r="F249" s="5" t="s">
        <v>444</v>
      </c>
      <c r="G249" s="5">
        <v>498.9</v>
      </c>
      <c r="H249" s="5">
        <f t="shared" si="6"/>
        <v>6.212405674866992</v>
      </c>
      <c r="I249" s="5"/>
      <c r="J249" s="5">
        <v>3</v>
      </c>
      <c r="K249" s="5">
        <v>5</v>
      </c>
      <c r="L249" s="6">
        <f t="shared" si="7"/>
        <v>0.6</v>
      </c>
      <c r="M249" s="5" t="s">
        <v>44</v>
      </c>
      <c r="N249" s="5" t="s">
        <v>554</v>
      </c>
      <c r="O249" s="5"/>
      <c r="P249" s="5">
        <v>1371975000</v>
      </c>
      <c r="Q249" s="7" t="s">
        <v>640</v>
      </c>
      <c r="R249" s="5" t="s">
        <v>41</v>
      </c>
      <c r="S249" s="5">
        <v>0</v>
      </c>
      <c r="T249" s="5">
        <v>7</v>
      </c>
      <c r="U249" s="5">
        <v>3.5</v>
      </c>
      <c r="V249" s="5" t="s">
        <v>38</v>
      </c>
      <c r="W249" s="5">
        <v>1</v>
      </c>
      <c r="X249" s="5">
        <v>1</v>
      </c>
      <c r="Y249" s="5" t="s">
        <v>641</v>
      </c>
      <c r="AA249" s="8">
        <v>46312</v>
      </c>
    </row>
    <row r="250" spans="1:27" ht="15" customHeight="1" x14ac:dyDescent="0.2">
      <c r="A250" s="5">
        <v>249</v>
      </c>
      <c r="B250" s="5">
        <v>332470531</v>
      </c>
      <c r="C250" s="5">
        <v>3</v>
      </c>
      <c r="D250" s="5" t="s">
        <v>26</v>
      </c>
      <c r="E250" s="5">
        <v>13</v>
      </c>
      <c r="F250" s="5" t="s">
        <v>451</v>
      </c>
      <c r="G250" s="5">
        <v>137.4</v>
      </c>
      <c r="H250" s="5">
        <f t="shared" si="6"/>
        <v>4.9228963797882486</v>
      </c>
      <c r="I250" s="5">
        <v>100</v>
      </c>
      <c r="J250" s="5">
        <v>3</v>
      </c>
      <c r="K250" s="5">
        <v>9</v>
      </c>
      <c r="L250" s="6">
        <f t="shared" si="7"/>
        <v>0.33333333333333331</v>
      </c>
      <c r="M250" s="5" t="s">
        <v>28</v>
      </c>
      <c r="N250" s="5" t="s">
        <v>61</v>
      </c>
      <c r="O250" s="5">
        <v>1</v>
      </c>
      <c r="P250" s="5">
        <v>215000000</v>
      </c>
      <c r="Q250" s="7" t="s">
        <v>642</v>
      </c>
      <c r="R250" s="5" t="s">
        <v>37</v>
      </c>
      <c r="S250" s="5">
        <v>3</v>
      </c>
      <c r="T250" s="5">
        <v>3</v>
      </c>
      <c r="U250" s="5">
        <v>3.7</v>
      </c>
      <c r="V250" s="5" t="s">
        <v>31</v>
      </c>
      <c r="W250" s="5">
        <v>2</v>
      </c>
      <c r="X250" s="5">
        <v>1</v>
      </c>
      <c r="Y250" s="5" t="s">
        <v>643</v>
      </c>
      <c r="AA250" s="8">
        <v>46312</v>
      </c>
    </row>
    <row r="251" spans="1:27" ht="370.5" customHeight="1" x14ac:dyDescent="0.2">
      <c r="A251" s="5">
        <v>250</v>
      </c>
      <c r="B251" s="5">
        <v>333224352</v>
      </c>
      <c r="C251" s="5">
        <v>2</v>
      </c>
      <c r="D251" s="5" t="s">
        <v>54</v>
      </c>
      <c r="E251" s="5">
        <v>9</v>
      </c>
      <c r="F251" s="5" t="s">
        <v>304</v>
      </c>
      <c r="G251" s="5">
        <v>64.900000000000006</v>
      </c>
      <c r="H251" s="5">
        <f t="shared" si="6"/>
        <v>4.1728476237100445</v>
      </c>
      <c r="I251" s="5"/>
      <c r="J251" s="5">
        <v>4</v>
      </c>
      <c r="K251" s="5">
        <v>6</v>
      </c>
      <c r="L251" s="6">
        <f t="shared" si="7"/>
        <v>0.66666666666666663</v>
      </c>
      <c r="M251" s="5" t="s">
        <v>28</v>
      </c>
      <c r="N251" s="5" t="s">
        <v>61</v>
      </c>
      <c r="O251" s="5">
        <v>1</v>
      </c>
      <c r="P251" s="5">
        <v>75000000</v>
      </c>
      <c r="Q251" s="7" t="s">
        <v>630</v>
      </c>
      <c r="R251" s="5" t="s">
        <v>37</v>
      </c>
      <c r="S251" s="5">
        <v>3</v>
      </c>
      <c r="T251" s="5">
        <v>2</v>
      </c>
      <c r="U251" s="5">
        <v>3.3</v>
      </c>
      <c r="V251" s="5" t="s">
        <v>38</v>
      </c>
      <c r="W251" s="5">
        <v>1</v>
      </c>
      <c r="X251" s="5">
        <v>1</v>
      </c>
      <c r="Y251" s="5" t="s">
        <v>644</v>
      </c>
      <c r="AA251" s="8">
        <v>46312</v>
      </c>
    </row>
    <row r="252" spans="1:27" ht="328.5" customHeight="1" x14ac:dyDescent="0.2">
      <c r="A252" s="5">
        <v>251</v>
      </c>
      <c r="B252" s="5">
        <v>314345937</v>
      </c>
      <c r="C252" s="5">
        <v>6</v>
      </c>
      <c r="D252" s="5" t="s">
        <v>26</v>
      </c>
      <c r="E252" s="5">
        <v>9</v>
      </c>
      <c r="F252" s="5" t="s">
        <v>128</v>
      </c>
      <c r="G252" s="5">
        <v>250</v>
      </c>
      <c r="H252" s="5">
        <f t="shared" si="6"/>
        <v>5.521460917862246</v>
      </c>
      <c r="I252" s="5"/>
      <c r="J252" s="5">
        <v>5</v>
      </c>
      <c r="K252" s="5">
        <v>7</v>
      </c>
      <c r="L252" s="6">
        <f t="shared" si="7"/>
        <v>0.7142857142857143</v>
      </c>
      <c r="M252" s="5"/>
      <c r="N252" s="5" t="s">
        <v>61</v>
      </c>
      <c r="O252" s="5">
        <v>1</v>
      </c>
      <c r="P252" s="5">
        <v>179000000</v>
      </c>
      <c r="Q252" s="7" t="s">
        <v>645</v>
      </c>
      <c r="R252" s="5" t="s">
        <v>37</v>
      </c>
      <c r="S252" s="5">
        <v>3</v>
      </c>
      <c r="T252" s="5">
        <v>3</v>
      </c>
      <c r="U252" s="5"/>
      <c r="V252" s="5"/>
      <c r="W252" s="5"/>
      <c r="X252" s="5">
        <v>1</v>
      </c>
      <c r="Y252" s="5" t="s">
        <v>646</v>
      </c>
      <c r="AA252" s="8">
        <v>46312</v>
      </c>
    </row>
    <row r="253" spans="1:27" ht="135.75" customHeight="1" x14ac:dyDescent="0.2">
      <c r="A253" s="5">
        <v>252</v>
      </c>
      <c r="B253" s="5">
        <v>332028963</v>
      </c>
      <c r="C253" s="5">
        <v>4</v>
      </c>
      <c r="D253" s="5" t="s">
        <v>33</v>
      </c>
      <c r="E253" s="5">
        <v>13</v>
      </c>
      <c r="F253" s="5" t="s">
        <v>34</v>
      </c>
      <c r="G253" s="5">
        <v>163.5</v>
      </c>
      <c r="H253" s="5">
        <f t="shared" si="6"/>
        <v>5.0968129903373081</v>
      </c>
      <c r="I253" s="5"/>
      <c r="J253" s="5">
        <v>2</v>
      </c>
      <c r="K253" s="5">
        <v>9</v>
      </c>
      <c r="L253" s="6">
        <f t="shared" si="7"/>
        <v>0.22222222222222221</v>
      </c>
      <c r="M253" s="5" t="s">
        <v>28</v>
      </c>
      <c r="N253" s="5" t="s">
        <v>35</v>
      </c>
      <c r="O253" s="5">
        <v>2</v>
      </c>
      <c r="P253" s="5">
        <v>445000000</v>
      </c>
      <c r="Q253" s="7" t="s">
        <v>647</v>
      </c>
      <c r="R253" s="5" t="s">
        <v>41</v>
      </c>
      <c r="S253" s="5">
        <v>0</v>
      </c>
      <c r="T253" s="5">
        <v>3</v>
      </c>
      <c r="U253" s="5">
        <v>3.7</v>
      </c>
      <c r="V253" s="5" t="s">
        <v>31</v>
      </c>
      <c r="W253" s="5">
        <v>2</v>
      </c>
      <c r="X253" s="5">
        <v>1</v>
      </c>
      <c r="Y253" s="5" t="s">
        <v>648</v>
      </c>
      <c r="AA253" s="8">
        <v>46312</v>
      </c>
    </row>
    <row r="254" spans="1:27" ht="409.5" customHeight="1" x14ac:dyDescent="0.2">
      <c r="A254" s="5">
        <v>253</v>
      </c>
      <c r="B254" s="5">
        <v>329101887</v>
      </c>
      <c r="C254" s="5">
        <v>3</v>
      </c>
      <c r="D254" s="5" t="s">
        <v>26</v>
      </c>
      <c r="E254" s="5">
        <v>9</v>
      </c>
      <c r="F254" s="5" t="s">
        <v>649</v>
      </c>
      <c r="G254" s="5">
        <v>100</v>
      </c>
      <c r="H254" s="5">
        <f t="shared" si="6"/>
        <v>4.6051701859880918</v>
      </c>
      <c r="I254" s="5"/>
      <c r="J254" s="5">
        <v>3</v>
      </c>
      <c r="K254" s="5">
        <v>4</v>
      </c>
      <c r="L254" s="6">
        <f t="shared" si="7"/>
        <v>0.75</v>
      </c>
      <c r="M254" s="5" t="s">
        <v>28</v>
      </c>
      <c r="N254" s="5" t="s">
        <v>61</v>
      </c>
      <c r="O254" s="5">
        <v>1</v>
      </c>
      <c r="P254" s="5">
        <v>100000000</v>
      </c>
      <c r="Q254" s="7" t="s">
        <v>650</v>
      </c>
      <c r="R254" s="5" t="s">
        <v>37</v>
      </c>
      <c r="S254" s="5">
        <v>3</v>
      </c>
      <c r="T254" s="5">
        <v>2</v>
      </c>
      <c r="U254" s="5">
        <v>3.5</v>
      </c>
      <c r="V254" s="5" t="s">
        <v>38</v>
      </c>
      <c r="W254" s="5">
        <v>1</v>
      </c>
      <c r="X254" s="5">
        <v>1</v>
      </c>
      <c r="Y254" s="5" t="s">
        <v>651</v>
      </c>
      <c r="AA254" s="8">
        <v>46312</v>
      </c>
    </row>
    <row r="255" spans="1:27" ht="409.5" customHeight="1" x14ac:dyDescent="0.2">
      <c r="A255" s="5">
        <v>254</v>
      </c>
      <c r="B255" s="5">
        <v>330992211</v>
      </c>
      <c r="C255" s="5">
        <v>4</v>
      </c>
      <c r="D255" s="5" t="s">
        <v>54</v>
      </c>
      <c r="E255" s="5">
        <v>6</v>
      </c>
      <c r="F255" s="5" t="s">
        <v>652</v>
      </c>
      <c r="G255" s="5">
        <v>170</v>
      </c>
      <c r="H255" s="5">
        <f t="shared" si="6"/>
        <v>5.1357984370502621</v>
      </c>
      <c r="I255" s="5"/>
      <c r="J255" s="5">
        <v>4</v>
      </c>
      <c r="K255" s="5">
        <v>8</v>
      </c>
      <c r="L255" s="6">
        <f t="shared" si="7"/>
        <v>0.5</v>
      </c>
      <c r="M255" s="5" t="s">
        <v>28</v>
      </c>
      <c r="N255" s="5" t="s">
        <v>35</v>
      </c>
      <c r="O255" s="5">
        <v>2</v>
      </c>
      <c r="P255" s="5">
        <v>410000000</v>
      </c>
      <c r="Q255" s="7" t="s">
        <v>653</v>
      </c>
      <c r="R255" s="5"/>
      <c r="S255" s="5"/>
      <c r="T255" s="5"/>
      <c r="U255" s="5">
        <v>3.2</v>
      </c>
      <c r="V255" s="5" t="s">
        <v>38</v>
      </c>
      <c r="W255" s="5">
        <v>1</v>
      </c>
      <c r="X255" s="5">
        <v>1</v>
      </c>
      <c r="Y255" s="5" t="s">
        <v>654</v>
      </c>
      <c r="AA255" s="8">
        <v>46312</v>
      </c>
    </row>
    <row r="256" spans="1:27" ht="409.5" customHeight="1" x14ac:dyDescent="0.2">
      <c r="A256" s="5">
        <v>255</v>
      </c>
      <c r="B256" s="5">
        <v>328082167</v>
      </c>
      <c r="C256" s="5">
        <v>6</v>
      </c>
      <c r="D256" s="5" t="s">
        <v>54</v>
      </c>
      <c r="E256" s="5">
        <v>7</v>
      </c>
      <c r="F256" s="5" t="s">
        <v>655</v>
      </c>
      <c r="G256" s="5">
        <v>359.6</v>
      </c>
      <c r="H256" s="5">
        <f t="shared" si="6"/>
        <v>5.8849923025974649</v>
      </c>
      <c r="I256" s="5"/>
      <c r="J256" s="5">
        <v>1</v>
      </c>
      <c r="K256" s="5">
        <v>4</v>
      </c>
      <c r="L256" s="6">
        <f t="shared" si="7"/>
        <v>0.25</v>
      </c>
      <c r="M256" s="5"/>
      <c r="N256" s="5"/>
      <c r="O256" s="5">
        <v>0</v>
      </c>
      <c r="P256" s="5">
        <v>1294560000</v>
      </c>
      <c r="Q256" s="7" t="s">
        <v>656</v>
      </c>
      <c r="R256" s="5"/>
      <c r="S256" s="5"/>
      <c r="T256" s="5"/>
      <c r="U256" s="5"/>
      <c r="V256" s="5"/>
      <c r="W256" s="5"/>
      <c r="X256" s="5">
        <v>1</v>
      </c>
      <c r="Y256" s="5" t="s">
        <v>657</v>
      </c>
      <c r="AA256" s="8">
        <v>46312</v>
      </c>
    </row>
    <row r="257" spans="1:27" ht="409.5" customHeight="1" x14ac:dyDescent="0.2">
      <c r="A257" s="5">
        <v>256</v>
      </c>
      <c r="B257" s="5">
        <v>328021618</v>
      </c>
      <c r="C257" s="5">
        <v>3</v>
      </c>
      <c r="D257" s="5" t="s">
        <v>64</v>
      </c>
      <c r="E257" s="5">
        <v>8</v>
      </c>
      <c r="F257" s="5" t="s">
        <v>145</v>
      </c>
      <c r="G257" s="5">
        <v>151.1</v>
      </c>
      <c r="H257" s="5">
        <f t="shared" si="6"/>
        <v>5.0179418692786939</v>
      </c>
      <c r="I257" s="5"/>
      <c r="J257" s="5">
        <v>4</v>
      </c>
      <c r="K257" s="5">
        <v>10</v>
      </c>
      <c r="L257" s="6">
        <f t="shared" si="7"/>
        <v>0.4</v>
      </c>
      <c r="M257" s="5" t="s">
        <v>57</v>
      </c>
      <c r="N257" s="5" t="s">
        <v>35</v>
      </c>
      <c r="O257" s="5">
        <v>2</v>
      </c>
      <c r="P257" s="5">
        <v>528850000</v>
      </c>
      <c r="Q257" s="7" t="s">
        <v>658</v>
      </c>
      <c r="R257" s="5"/>
      <c r="S257" s="5"/>
      <c r="T257" s="5"/>
      <c r="U257" s="5">
        <v>3.2</v>
      </c>
      <c r="V257" s="5" t="s">
        <v>38</v>
      </c>
      <c r="W257" s="5">
        <v>1</v>
      </c>
      <c r="X257" s="5">
        <v>1</v>
      </c>
      <c r="Y257" s="5" t="s">
        <v>659</v>
      </c>
      <c r="AA257" s="8">
        <v>46312</v>
      </c>
    </row>
    <row r="258" spans="1:27" ht="409.5" customHeight="1" x14ac:dyDescent="0.2">
      <c r="A258" s="5">
        <v>257</v>
      </c>
      <c r="B258" s="5">
        <v>327992372</v>
      </c>
      <c r="C258" s="5">
        <v>3</v>
      </c>
      <c r="D258" s="5" t="s">
        <v>54</v>
      </c>
      <c r="E258" s="5">
        <v>7</v>
      </c>
      <c r="F258" s="5" t="s">
        <v>655</v>
      </c>
      <c r="G258" s="5">
        <v>164.4</v>
      </c>
      <c r="H258" s="5">
        <f t="shared" ref="H258:H321" si="8">LN(G258)</f>
        <v>5.10230248262208</v>
      </c>
      <c r="I258" s="5"/>
      <c r="J258" s="5">
        <v>1</v>
      </c>
      <c r="K258" s="5">
        <v>4</v>
      </c>
      <c r="L258" s="6">
        <f t="shared" ref="L258:L321" si="9">J258/K258</f>
        <v>0.25</v>
      </c>
      <c r="M258" s="5"/>
      <c r="N258" s="5"/>
      <c r="O258" s="5">
        <v>0</v>
      </c>
      <c r="P258" s="5">
        <v>460320000</v>
      </c>
      <c r="Q258" s="7" t="s">
        <v>660</v>
      </c>
      <c r="R258" s="5"/>
      <c r="S258" s="5"/>
      <c r="T258" s="5"/>
      <c r="U258" s="5"/>
      <c r="V258" s="5"/>
      <c r="W258" s="5"/>
      <c r="X258" s="5">
        <v>1</v>
      </c>
      <c r="Y258" s="5" t="s">
        <v>661</v>
      </c>
      <c r="AA258" s="8">
        <v>46312</v>
      </c>
    </row>
    <row r="259" spans="1:27" ht="409.5" customHeight="1" x14ac:dyDescent="0.2">
      <c r="A259" s="5">
        <v>258</v>
      </c>
      <c r="B259" s="5">
        <v>333119807</v>
      </c>
      <c r="C259" s="5">
        <v>2</v>
      </c>
      <c r="D259" s="5" t="s">
        <v>54</v>
      </c>
      <c r="E259" s="5">
        <v>7</v>
      </c>
      <c r="F259" s="5" t="s">
        <v>662</v>
      </c>
      <c r="G259" s="5">
        <v>62</v>
      </c>
      <c r="H259" s="5">
        <f t="shared" si="8"/>
        <v>4.1271343850450917</v>
      </c>
      <c r="I259" s="5">
        <v>35</v>
      </c>
      <c r="J259" s="5">
        <v>4</v>
      </c>
      <c r="K259" s="5">
        <v>4</v>
      </c>
      <c r="L259" s="6">
        <f t="shared" si="9"/>
        <v>1</v>
      </c>
      <c r="M259" s="5" t="s">
        <v>28</v>
      </c>
      <c r="N259" s="5" t="s">
        <v>61</v>
      </c>
      <c r="O259" s="5">
        <v>1</v>
      </c>
      <c r="P259" s="5">
        <v>48500000</v>
      </c>
      <c r="Q259" s="7" t="s">
        <v>663</v>
      </c>
      <c r="R259" s="5" t="s">
        <v>30</v>
      </c>
      <c r="S259" s="5">
        <v>2</v>
      </c>
      <c r="T259" s="5">
        <v>1</v>
      </c>
      <c r="U259" s="5">
        <v>3</v>
      </c>
      <c r="V259" s="5" t="s">
        <v>38</v>
      </c>
      <c r="W259" s="5">
        <v>1</v>
      </c>
      <c r="X259" s="5">
        <v>1</v>
      </c>
      <c r="Y259" s="5" t="s">
        <v>664</v>
      </c>
      <c r="AA259" s="8">
        <v>46312</v>
      </c>
    </row>
    <row r="260" spans="1:27" ht="409.5" customHeight="1" x14ac:dyDescent="0.2">
      <c r="A260" s="5">
        <v>259</v>
      </c>
      <c r="B260" s="5">
        <v>333015593</v>
      </c>
      <c r="C260" s="5">
        <v>3</v>
      </c>
      <c r="D260" s="5" t="s">
        <v>26</v>
      </c>
      <c r="E260" s="5">
        <v>9</v>
      </c>
      <c r="F260" s="5" t="s">
        <v>444</v>
      </c>
      <c r="G260" s="5">
        <v>160</v>
      </c>
      <c r="H260" s="5">
        <f t="shared" si="8"/>
        <v>5.0751738152338266</v>
      </c>
      <c r="I260" s="5">
        <v>82</v>
      </c>
      <c r="J260" s="5">
        <v>3</v>
      </c>
      <c r="K260" s="5">
        <v>6</v>
      </c>
      <c r="L260" s="6">
        <f t="shared" si="9"/>
        <v>0.5</v>
      </c>
      <c r="M260" s="5" t="s">
        <v>44</v>
      </c>
      <c r="N260" s="5" t="s">
        <v>35</v>
      </c>
      <c r="O260" s="5">
        <v>2</v>
      </c>
      <c r="P260" s="5">
        <v>439000000</v>
      </c>
      <c r="Q260" s="7" t="s">
        <v>665</v>
      </c>
      <c r="R260" s="5" t="s">
        <v>41</v>
      </c>
      <c r="S260" s="5">
        <v>0</v>
      </c>
      <c r="T260" s="5">
        <v>3</v>
      </c>
      <c r="U260" s="5">
        <v>3.5</v>
      </c>
      <c r="V260" s="5" t="s">
        <v>38</v>
      </c>
      <c r="W260" s="5">
        <v>1</v>
      </c>
      <c r="X260" s="5">
        <v>1</v>
      </c>
      <c r="Y260" s="5" t="s">
        <v>666</v>
      </c>
      <c r="AA260" s="8">
        <v>46312</v>
      </c>
    </row>
    <row r="261" spans="1:27" ht="409.5" customHeight="1" x14ac:dyDescent="0.2">
      <c r="A261" s="5">
        <v>260</v>
      </c>
      <c r="B261" s="5">
        <v>331362298</v>
      </c>
      <c r="C261" s="5">
        <v>1</v>
      </c>
      <c r="D261" s="5" t="s">
        <v>26</v>
      </c>
      <c r="E261" s="5">
        <v>10</v>
      </c>
      <c r="F261" s="5" t="s">
        <v>667</v>
      </c>
      <c r="G261" s="5">
        <v>36.6</v>
      </c>
      <c r="H261" s="5">
        <f t="shared" si="8"/>
        <v>3.6000482404073204</v>
      </c>
      <c r="I261" s="5">
        <v>20.5</v>
      </c>
      <c r="J261" s="5">
        <v>2</v>
      </c>
      <c r="K261" s="5">
        <v>13</v>
      </c>
      <c r="L261" s="6">
        <f t="shared" si="9"/>
        <v>0.15384615384615385</v>
      </c>
      <c r="M261" s="5" t="s">
        <v>28</v>
      </c>
      <c r="N261" s="5"/>
      <c r="O261" s="5">
        <v>0</v>
      </c>
      <c r="P261" s="5">
        <v>37000000</v>
      </c>
      <c r="Q261" s="7" t="s">
        <v>668</v>
      </c>
      <c r="R261" s="5" t="s">
        <v>107</v>
      </c>
      <c r="S261" s="5">
        <v>1</v>
      </c>
      <c r="T261" s="5">
        <v>1</v>
      </c>
      <c r="U261" s="5">
        <v>2.8</v>
      </c>
      <c r="V261" s="5" t="s">
        <v>52</v>
      </c>
      <c r="W261" s="5">
        <v>0</v>
      </c>
      <c r="X261" s="5">
        <v>1</v>
      </c>
      <c r="Y261" s="5" t="s">
        <v>669</v>
      </c>
      <c r="AA261" s="8">
        <v>46312</v>
      </c>
    </row>
    <row r="262" spans="1:27" ht="409.5" customHeight="1" x14ac:dyDescent="0.2">
      <c r="A262" s="5">
        <v>261</v>
      </c>
      <c r="B262" s="5">
        <v>328656333</v>
      </c>
      <c r="C262" s="5">
        <v>4</v>
      </c>
      <c r="D262" s="5" t="s">
        <v>26</v>
      </c>
      <c r="E262" s="5">
        <v>9</v>
      </c>
      <c r="F262" s="5" t="s">
        <v>444</v>
      </c>
      <c r="G262" s="5">
        <v>185.3</v>
      </c>
      <c r="H262" s="5">
        <f t="shared" si="8"/>
        <v>5.2219761332913137</v>
      </c>
      <c r="I262" s="5">
        <v>103.2</v>
      </c>
      <c r="J262" s="5">
        <v>3</v>
      </c>
      <c r="K262" s="5">
        <v>5</v>
      </c>
      <c r="L262" s="6">
        <f t="shared" si="9"/>
        <v>0.6</v>
      </c>
      <c r="M262" s="5" t="s">
        <v>44</v>
      </c>
      <c r="N262" s="5" t="s">
        <v>35</v>
      </c>
      <c r="O262" s="5">
        <v>2</v>
      </c>
      <c r="P262" s="5">
        <v>509000000</v>
      </c>
      <c r="Q262" s="7" t="s">
        <v>670</v>
      </c>
      <c r="R262" s="5" t="s">
        <v>41</v>
      </c>
      <c r="S262" s="5">
        <v>0</v>
      </c>
      <c r="T262" s="5">
        <v>3</v>
      </c>
      <c r="U262" s="5">
        <v>3.5</v>
      </c>
      <c r="V262" s="5" t="s">
        <v>38</v>
      </c>
      <c r="W262" s="5">
        <v>1</v>
      </c>
      <c r="X262" s="5">
        <v>1</v>
      </c>
      <c r="Y262" s="5" t="s">
        <v>671</v>
      </c>
      <c r="AA262" s="8">
        <v>46312</v>
      </c>
    </row>
    <row r="263" spans="1:27" ht="409.5" customHeight="1" x14ac:dyDescent="0.2">
      <c r="A263" s="5">
        <v>262</v>
      </c>
      <c r="B263" s="5">
        <v>328717365</v>
      </c>
      <c r="C263" s="5">
        <v>4</v>
      </c>
      <c r="D263" s="5" t="s">
        <v>26</v>
      </c>
      <c r="E263" s="5">
        <v>9</v>
      </c>
      <c r="F263" s="5" t="s">
        <v>444</v>
      </c>
      <c r="G263" s="5">
        <v>152.69999999999999</v>
      </c>
      <c r="H263" s="5">
        <f t="shared" si="8"/>
        <v>5.0284752122245866</v>
      </c>
      <c r="I263" s="5">
        <v>115</v>
      </c>
      <c r="J263" s="5">
        <v>3</v>
      </c>
      <c r="K263" s="5">
        <v>5</v>
      </c>
      <c r="L263" s="6">
        <f t="shared" si="9"/>
        <v>0.6</v>
      </c>
      <c r="M263" s="5" t="s">
        <v>44</v>
      </c>
      <c r="N263" s="5" t="s">
        <v>35</v>
      </c>
      <c r="O263" s="5">
        <v>2</v>
      </c>
      <c r="P263" s="5">
        <v>419000000</v>
      </c>
      <c r="Q263" s="7" t="s">
        <v>672</v>
      </c>
      <c r="R263" s="5" t="s">
        <v>41</v>
      </c>
      <c r="S263" s="5">
        <v>0</v>
      </c>
      <c r="T263" s="5">
        <v>3</v>
      </c>
      <c r="U263" s="5">
        <v>3.5</v>
      </c>
      <c r="V263" s="5" t="s">
        <v>38</v>
      </c>
      <c r="W263" s="5">
        <v>1</v>
      </c>
      <c r="X263" s="5">
        <v>1</v>
      </c>
      <c r="Y263" s="5" t="s">
        <v>673</v>
      </c>
      <c r="AA263" s="8">
        <v>46312</v>
      </c>
    </row>
    <row r="264" spans="1:27" ht="409.5" customHeight="1" x14ac:dyDescent="0.2">
      <c r="A264" s="5">
        <v>263</v>
      </c>
      <c r="B264" s="5">
        <v>300189345</v>
      </c>
      <c r="C264" s="5">
        <v>3</v>
      </c>
      <c r="D264" s="5" t="s">
        <v>54</v>
      </c>
      <c r="E264" s="5">
        <v>9</v>
      </c>
      <c r="F264" s="5" t="s">
        <v>233</v>
      </c>
      <c r="G264" s="5">
        <v>90</v>
      </c>
      <c r="H264" s="5">
        <f t="shared" si="8"/>
        <v>4.499809670330265</v>
      </c>
      <c r="I264" s="5">
        <v>66</v>
      </c>
      <c r="J264" s="5">
        <v>2</v>
      </c>
      <c r="K264" s="5">
        <v>7</v>
      </c>
      <c r="L264" s="6">
        <f t="shared" si="9"/>
        <v>0.2857142857142857</v>
      </c>
      <c r="M264" s="5" t="s">
        <v>28</v>
      </c>
      <c r="N264" s="5" t="s">
        <v>67</v>
      </c>
      <c r="O264" s="5">
        <v>1</v>
      </c>
      <c r="P264" s="5">
        <v>80000000</v>
      </c>
      <c r="Q264" s="7" t="s">
        <v>674</v>
      </c>
      <c r="R264" s="5" t="s">
        <v>30</v>
      </c>
      <c r="S264" s="5">
        <v>2</v>
      </c>
      <c r="T264" s="5">
        <v>2</v>
      </c>
      <c r="U264" s="5">
        <v>3</v>
      </c>
      <c r="V264" s="5" t="s">
        <v>38</v>
      </c>
      <c r="W264" s="5">
        <v>1</v>
      </c>
      <c r="X264" s="5">
        <v>1</v>
      </c>
      <c r="Y264" s="5" t="s">
        <v>675</v>
      </c>
      <c r="AA264" s="8">
        <v>46312</v>
      </c>
    </row>
    <row r="265" spans="1:27" ht="409.5" customHeight="1" x14ac:dyDescent="0.2">
      <c r="A265" s="5">
        <v>264</v>
      </c>
      <c r="B265" s="5">
        <v>326582339</v>
      </c>
      <c r="C265" s="5">
        <v>3</v>
      </c>
      <c r="D265" s="5" t="s">
        <v>33</v>
      </c>
      <c r="E265" s="5">
        <v>11</v>
      </c>
      <c r="F265" s="5" t="s">
        <v>93</v>
      </c>
      <c r="G265" s="5">
        <v>61</v>
      </c>
      <c r="H265" s="5">
        <f t="shared" si="8"/>
        <v>4.1108738641733114</v>
      </c>
      <c r="I265" s="5">
        <v>39</v>
      </c>
      <c r="J265" s="5">
        <v>7</v>
      </c>
      <c r="K265" s="5">
        <v>7</v>
      </c>
      <c r="L265" s="6">
        <f t="shared" si="9"/>
        <v>1</v>
      </c>
      <c r="M265" s="5" t="s">
        <v>28</v>
      </c>
      <c r="N265" s="5" t="s">
        <v>67</v>
      </c>
      <c r="O265" s="5">
        <v>1</v>
      </c>
      <c r="P265" s="5">
        <v>50500000</v>
      </c>
      <c r="Q265" s="7" t="s">
        <v>676</v>
      </c>
      <c r="R265" s="5" t="s">
        <v>30</v>
      </c>
      <c r="S265" s="5">
        <v>2</v>
      </c>
      <c r="T265" s="5">
        <v>1</v>
      </c>
      <c r="U265" s="5">
        <v>3</v>
      </c>
      <c r="V265" s="5" t="s">
        <v>38</v>
      </c>
      <c r="W265" s="5">
        <v>1</v>
      </c>
      <c r="X265" s="5">
        <v>1</v>
      </c>
      <c r="Y265" s="5" t="s">
        <v>677</v>
      </c>
      <c r="AA265" s="8">
        <v>46312</v>
      </c>
    </row>
    <row r="266" spans="1:27" ht="409.5" customHeight="1" x14ac:dyDescent="0.2">
      <c r="A266" s="5">
        <v>265</v>
      </c>
      <c r="B266" s="5">
        <v>313916510</v>
      </c>
      <c r="C266" s="5">
        <v>6</v>
      </c>
      <c r="D266" s="5" t="s">
        <v>64</v>
      </c>
      <c r="E266" s="5">
        <v>16</v>
      </c>
      <c r="F266" s="5" t="s">
        <v>525</v>
      </c>
      <c r="G266" s="5">
        <v>901.2</v>
      </c>
      <c r="H266" s="5">
        <f t="shared" si="8"/>
        <v>6.8037272085580893</v>
      </c>
      <c r="I266" s="5">
        <v>786</v>
      </c>
      <c r="J266" s="5">
        <v>8</v>
      </c>
      <c r="K266" s="5">
        <v>8</v>
      </c>
      <c r="L266" s="6">
        <f t="shared" si="9"/>
        <v>1</v>
      </c>
      <c r="M266" s="5" t="s">
        <v>44</v>
      </c>
      <c r="N266" s="5" t="s">
        <v>35</v>
      </c>
      <c r="O266" s="5">
        <v>2</v>
      </c>
      <c r="P266" s="5">
        <v>2926619500</v>
      </c>
      <c r="Q266" s="7" t="s">
        <v>678</v>
      </c>
      <c r="R266" s="5" t="s">
        <v>41</v>
      </c>
      <c r="S266" s="5">
        <v>0</v>
      </c>
      <c r="T266" s="5">
        <v>5</v>
      </c>
      <c r="U266" s="5">
        <v>3</v>
      </c>
      <c r="V266" s="5" t="s">
        <v>38</v>
      </c>
      <c r="W266" s="5">
        <v>1</v>
      </c>
      <c r="X266" s="5">
        <v>1</v>
      </c>
      <c r="Y266" s="5" t="s">
        <v>679</v>
      </c>
      <c r="AA266" s="8">
        <v>46312</v>
      </c>
    </row>
    <row r="267" spans="1:27" ht="409.5" customHeight="1" x14ac:dyDescent="0.2">
      <c r="A267" s="5">
        <v>266</v>
      </c>
      <c r="B267" s="5">
        <v>333793563</v>
      </c>
      <c r="C267" s="5">
        <v>3</v>
      </c>
      <c r="D267" s="5" t="s">
        <v>26</v>
      </c>
      <c r="E267" s="5">
        <v>10</v>
      </c>
      <c r="F267" s="5" t="s">
        <v>99</v>
      </c>
      <c r="G267" s="5">
        <v>115</v>
      </c>
      <c r="H267" s="5">
        <f t="shared" si="8"/>
        <v>4.7449321283632502</v>
      </c>
      <c r="I267" s="5">
        <v>72</v>
      </c>
      <c r="J267" s="5">
        <v>5</v>
      </c>
      <c r="K267" s="5">
        <v>5</v>
      </c>
      <c r="L267" s="6">
        <f t="shared" si="9"/>
        <v>1</v>
      </c>
      <c r="M267" s="5" t="s">
        <v>28</v>
      </c>
      <c r="N267" s="5" t="s">
        <v>67</v>
      </c>
      <c r="O267" s="5">
        <v>1</v>
      </c>
      <c r="P267" s="5">
        <v>137000000</v>
      </c>
      <c r="Q267" s="7" t="s">
        <v>680</v>
      </c>
      <c r="R267" s="5" t="s">
        <v>37</v>
      </c>
      <c r="S267" s="5">
        <v>3</v>
      </c>
      <c r="T267" s="5">
        <v>2</v>
      </c>
      <c r="U267" s="5">
        <v>3.4</v>
      </c>
      <c r="V267" s="5" t="s">
        <v>38</v>
      </c>
      <c r="W267" s="5">
        <v>1</v>
      </c>
      <c r="X267" s="5">
        <v>1</v>
      </c>
      <c r="Y267" s="5" t="s">
        <v>681</v>
      </c>
      <c r="AA267" s="8">
        <v>46312</v>
      </c>
    </row>
    <row r="268" spans="1:27" ht="409.5" customHeight="1" x14ac:dyDescent="0.2">
      <c r="A268" s="5">
        <v>267</v>
      </c>
      <c r="B268" s="5">
        <v>334577799</v>
      </c>
      <c r="C268" s="5">
        <v>5</v>
      </c>
      <c r="D268" s="5" t="s">
        <v>33</v>
      </c>
      <c r="E268" s="5">
        <v>13</v>
      </c>
      <c r="F268" s="5" t="s">
        <v>34</v>
      </c>
      <c r="G268" s="5">
        <v>332.2</v>
      </c>
      <c r="H268" s="5">
        <f t="shared" si="8"/>
        <v>5.8057371971791945</v>
      </c>
      <c r="I268" s="5">
        <v>305</v>
      </c>
      <c r="J268" s="5">
        <v>2</v>
      </c>
      <c r="K268" s="5">
        <v>9</v>
      </c>
      <c r="L268" s="6">
        <f t="shared" si="9"/>
        <v>0.22222222222222221</v>
      </c>
      <c r="M268" s="5" t="s">
        <v>28</v>
      </c>
      <c r="N268" s="5" t="s">
        <v>35</v>
      </c>
      <c r="O268" s="5">
        <v>2</v>
      </c>
      <c r="P268" s="5">
        <v>950000000</v>
      </c>
      <c r="Q268" s="7" t="s">
        <v>36</v>
      </c>
      <c r="R268" s="5" t="s">
        <v>37</v>
      </c>
      <c r="S268" s="5">
        <v>3</v>
      </c>
      <c r="T268" s="5">
        <v>4</v>
      </c>
      <c r="U268" s="5">
        <v>3.4</v>
      </c>
      <c r="V268" s="5" t="s">
        <v>38</v>
      </c>
      <c r="W268" s="5">
        <v>1</v>
      </c>
      <c r="X268" s="5">
        <v>1</v>
      </c>
      <c r="Y268" s="5" t="s">
        <v>682</v>
      </c>
      <c r="AA268" s="8">
        <v>46312</v>
      </c>
    </row>
    <row r="269" spans="1:27" ht="409.5" customHeight="1" x14ac:dyDescent="0.2">
      <c r="A269" s="5">
        <v>268</v>
      </c>
      <c r="B269" s="5">
        <v>334575650</v>
      </c>
      <c r="C269" s="5">
        <v>4</v>
      </c>
      <c r="D269" s="5" t="s">
        <v>33</v>
      </c>
      <c r="E269" s="5">
        <v>11</v>
      </c>
      <c r="F269" s="5" t="s">
        <v>131</v>
      </c>
      <c r="G269" s="5">
        <v>193</v>
      </c>
      <c r="H269" s="5">
        <f t="shared" si="8"/>
        <v>5.2626901889048856</v>
      </c>
      <c r="I269" s="5"/>
      <c r="J269" s="5">
        <v>5</v>
      </c>
      <c r="K269" s="5">
        <v>9</v>
      </c>
      <c r="L269" s="6">
        <f t="shared" si="9"/>
        <v>0.55555555555555558</v>
      </c>
      <c r="M269" s="5"/>
      <c r="N269" s="5" t="s">
        <v>61</v>
      </c>
      <c r="O269" s="5">
        <v>1</v>
      </c>
      <c r="P269" s="5">
        <v>570000000</v>
      </c>
      <c r="Q269" s="7" t="s">
        <v>132</v>
      </c>
      <c r="R269" s="5" t="s">
        <v>37</v>
      </c>
      <c r="S269" s="5">
        <v>3</v>
      </c>
      <c r="T269" s="5">
        <v>2</v>
      </c>
      <c r="U269" s="5">
        <v>3.5</v>
      </c>
      <c r="V269" s="5" t="s">
        <v>38</v>
      </c>
      <c r="W269" s="5">
        <v>1</v>
      </c>
      <c r="X269" s="5">
        <v>1</v>
      </c>
      <c r="Y269" s="5" t="s">
        <v>683</v>
      </c>
      <c r="AA269" s="8">
        <v>46312</v>
      </c>
    </row>
    <row r="270" spans="1:27" ht="409.5" customHeight="1" x14ac:dyDescent="0.2">
      <c r="A270" s="5">
        <v>269</v>
      </c>
      <c r="B270" s="5">
        <v>334575608</v>
      </c>
      <c r="C270" s="5">
        <v>4</v>
      </c>
      <c r="D270" s="5" t="s">
        <v>54</v>
      </c>
      <c r="E270" s="5">
        <v>11</v>
      </c>
      <c r="F270" s="5" t="s">
        <v>154</v>
      </c>
      <c r="G270" s="5">
        <v>109.2</v>
      </c>
      <c r="H270" s="5">
        <f t="shared" si="8"/>
        <v>4.6931810633108046</v>
      </c>
      <c r="I270" s="5">
        <v>95.2</v>
      </c>
      <c r="J270" s="5">
        <v>2</v>
      </c>
      <c r="K270" s="5">
        <v>5</v>
      </c>
      <c r="L270" s="6">
        <f t="shared" si="9"/>
        <v>0.4</v>
      </c>
      <c r="M270" s="5" t="s">
        <v>28</v>
      </c>
      <c r="N270" s="5" t="s">
        <v>61</v>
      </c>
      <c r="O270" s="5">
        <v>1</v>
      </c>
      <c r="P270" s="5">
        <v>75000000</v>
      </c>
      <c r="Q270" s="7" t="s">
        <v>684</v>
      </c>
      <c r="R270" s="5" t="s">
        <v>37</v>
      </c>
      <c r="S270" s="5">
        <v>3</v>
      </c>
      <c r="T270" s="5">
        <v>2</v>
      </c>
      <c r="U270" s="5">
        <v>3.4</v>
      </c>
      <c r="V270" s="5" t="s">
        <v>38</v>
      </c>
      <c r="W270" s="5">
        <v>1</v>
      </c>
      <c r="X270" s="5">
        <v>1</v>
      </c>
      <c r="Y270" s="5" t="s">
        <v>685</v>
      </c>
      <c r="AA270" s="8">
        <v>46312</v>
      </c>
    </row>
    <row r="271" spans="1:27" ht="409.5" customHeight="1" x14ac:dyDescent="0.2">
      <c r="A271" s="5">
        <v>270</v>
      </c>
      <c r="B271" s="5">
        <v>334575523</v>
      </c>
      <c r="C271" s="5">
        <v>4</v>
      </c>
      <c r="D271" s="5" t="s">
        <v>54</v>
      </c>
      <c r="E271" s="5">
        <v>6</v>
      </c>
      <c r="F271" s="5" t="s">
        <v>148</v>
      </c>
      <c r="G271" s="5">
        <v>121</v>
      </c>
      <c r="H271" s="5">
        <f t="shared" si="8"/>
        <v>4.7957905455967413</v>
      </c>
      <c r="I271" s="5"/>
      <c r="J271" s="5">
        <v>4</v>
      </c>
      <c r="K271" s="5">
        <v>7</v>
      </c>
      <c r="L271" s="6">
        <f t="shared" si="9"/>
        <v>0.5714285714285714</v>
      </c>
      <c r="M271" s="5"/>
      <c r="N271" s="5" t="s">
        <v>61</v>
      </c>
      <c r="O271" s="5">
        <v>1</v>
      </c>
      <c r="P271" s="5">
        <v>127000000</v>
      </c>
      <c r="Q271" s="7" t="s">
        <v>686</v>
      </c>
      <c r="R271" s="5" t="s">
        <v>37</v>
      </c>
      <c r="S271" s="5">
        <v>3</v>
      </c>
      <c r="T271" s="5">
        <v>4</v>
      </c>
      <c r="U271" s="5">
        <v>3</v>
      </c>
      <c r="V271" s="5" t="s">
        <v>38</v>
      </c>
      <c r="W271" s="5">
        <v>1</v>
      </c>
      <c r="X271" s="5">
        <v>1</v>
      </c>
      <c r="Y271" s="5" t="s">
        <v>687</v>
      </c>
      <c r="AA271" s="8">
        <v>46312</v>
      </c>
    </row>
    <row r="272" spans="1:27" ht="409.5" customHeight="1" x14ac:dyDescent="0.2">
      <c r="A272" s="5">
        <v>271</v>
      </c>
      <c r="B272" s="5">
        <v>334575374</v>
      </c>
      <c r="C272" s="5">
        <v>5</v>
      </c>
      <c r="D272" s="5" t="s">
        <v>54</v>
      </c>
      <c r="E272" s="5">
        <v>9</v>
      </c>
      <c r="F272" s="5" t="s">
        <v>128</v>
      </c>
      <c r="G272" s="5">
        <v>250</v>
      </c>
      <c r="H272" s="5">
        <f t="shared" si="8"/>
        <v>5.521460917862246</v>
      </c>
      <c r="I272" s="5"/>
      <c r="J272" s="5">
        <v>6</v>
      </c>
      <c r="K272" s="5">
        <v>6</v>
      </c>
      <c r="L272" s="6">
        <f t="shared" si="9"/>
        <v>1</v>
      </c>
      <c r="M272" s="5" t="s">
        <v>28</v>
      </c>
      <c r="N272" s="5" t="s">
        <v>61</v>
      </c>
      <c r="O272" s="5">
        <v>1</v>
      </c>
      <c r="P272" s="5">
        <v>179000000</v>
      </c>
      <c r="Q272" s="7" t="s">
        <v>688</v>
      </c>
      <c r="R272" s="5" t="s">
        <v>37</v>
      </c>
      <c r="S272" s="5">
        <v>3</v>
      </c>
      <c r="T272" s="5">
        <v>3</v>
      </c>
      <c r="U272" s="5">
        <v>3</v>
      </c>
      <c r="V272" s="5" t="s">
        <v>38</v>
      </c>
      <c r="W272" s="5">
        <v>1</v>
      </c>
      <c r="X272" s="5">
        <v>1</v>
      </c>
      <c r="Y272" s="5" t="s">
        <v>689</v>
      </c>
      <c r="AA272" s="8">
        <v>46312</v>
      </c>
    </row>
    <row r="273" spans="1:27" ht="409.5" customHeight="1" x14ac:dyDescent="0.2">
      <c r="A273" s="5">
        <v>272</v>
      </c>
      <c r="B273" s="5">
        <v>334575318</v>
      </c>
      <c r="C273" s="5">
        <v>2</v>
      </c>
      <c r="D273" s="5" t="s">
        <v>54</v>
      </c>
      <c r="E273" s="5">
        <v>10</v>
      </c>
      <c r="F273" s="5" t="s">
        <v>139</v>
      </c>
      <c r="G273" s="5">
        <v>88.4</v>
      </c>
      <c r="H273" s="5">
        <f t="shared" si="8"/>
        <v>4.4818719696435982</v>
      </c>
      <c r="I273" s="5">
        <v>72.400000000000006</v>
      </c>
      <c r="J273" s="5">
        <v>9</v>
      </c>
      <c r="K273" s="5">
        <v>9</v>
      </c>
      <c r="L273" s="6">
        <f t="shared" si="9"/>
        <v>1</v>
      </c>
      <c r="M273" s="5"/>
      <c r="N273" s="5" t="s">
        <v>61</v>
      </c>
      <c r="O273" s="5">
        <v>1</v>
      </c>
      <c r="P273" s="5">
        <v>190000000</v>
      </c>
      <c r="Q273" s="7" t="s">
        <v>140</v>
      </c>
      <c r="R273" s="5" t="s">
        <v>37</v>
      </c>
      <c r="S273" s="5">
        <v>3</v>
      </c>
      <c r="T273" s="5">
        <v>1</v>
      </c>
      <c r="U273" s="5">
        <v>3.5</v>
      </c>
      <c r="V273" s="5" t="s">
        <v>38</v>
      </c>
      <c r="W273" s="5">
        <v>1</v>
      </c>
      <c r="X273" s="5">
        <v>1</v>
      </c>
      <c r="Y273" s="5" t="s">
        <v>690</v>
      </c>
      <c r="AA273" s="8">
        <v>46312</v>
      </c>
    </row>
    <row r="274" spans="1:27" ht="409.5" customHeight="1" x14ac:dyDescent="0.2">
      <c r="A274" s="5">
        <v>273</v>
      </c>
      <c r="B274" s="5">
        <v>334577867</v>
      </c>
      <c r="C274" s="5">
        <v>5</v>
      </c>
      <c r="D274" s="5" t="s">
        <v>54</v>
      </c>
      <c r="E274" s="5">
        <v>7</v>
      </c>
      <c r="F274" s="5" t="s">
        <v>134</v>
      </c>
      <c r="G274" s="5">
        <v>350</v>
      </c>
      <c r="H274" s="5">
        <f t="shared" si="8"/>
        <v>5.857933154483459</v>
      </c>
      <c r="I274" s="5">
        <v>315</v>
      </c>
      <c r="J274" s="5">
        <v>5</v>
      </c>
      <c r="K274" s="5">
        <v>7</v>
      </c>
      <c r="L274" s="6">
        <f t="shared" si="9"/>
        <v>0.7142857142857143</v>
      </c>
      <c r="M274" s="5" t="s">
        <v>57</v>
      </c>
      <c r="N274" s="5" t="s">
        <v>35</v>
      </c>
      <c r="O274" s="5">
        <v>2</v>
      </c>
      <c r="P274" s="5">
        <v>999000000</v>
      </c>
      <c r="Q274" s="7" t="s">
        <v>135</v>
      </c>
      <c r="R274" s="5" t="s">
        <v>37</v>
      </c>
      <c r="S274" s="5">
        <v>3</v>
      </c>
      <c r="T274" s="5">
        <v>6</v>
      </c>
      <c r="U274" s="5">
        <v>3.2</v>
      </c>
      <c r="V274" s="5" t="s">
        <v>38</v>
      </c>
      <c r="W274" s="5">
        <v>1</v>
      </c>
      <c r="X274" s="5">
        <v>1</v>
      </c>
      <c r="Y274" s="5" t="s">
        <v>691</v>
      </c>
      <c r="AA274" s="8">
        <v>46312</v>
      </c>
    </row>
    <row r="275" spans="1:27" ht="409.5" customHeight="1" x14ac:dyDescent="0.2">
      <c r="A275" s="5">
        <v>274</v>
      </c>
      <c r="B275" s="5">
        <v>323390973</v>
      </c>
      <c r="C275" s="5">
        <v>6</v>
      </c>
      <c r="D275" s="5" t="s">
        <v>54</v>
      </c>
      <c r="E275" s="5">
        <v>10</v>
      </c>
      <c r="F275" s="5" t="s">
        <v>201</v>
      </c>
      <c r="G275" s="5">
        <v>509</v>
      </c>
      <c r="H275" s="5">
        <f t="shared" si="8"/>
        <v>6.2324480165505225</v>
      </c>
      <c r="I275" s="5">
        <v>409</v>
      </c>
      <c r="J275" s="5">
        <v>6</v>
      </c>
      <c r="K275" s="5">
        <v>6</v>
      </c>
      <c r="L275" s="6">
        <f t="shared" si="9"/>
        <v>1</v>
      </c>
      <c r="M275" s="5" t="s">
        <v>28</v>
      </c>
      <c r="N275" s="5" t="s">
        <v>61</v>
      </c>
      <c r="O275" s="5">
        <v>1</v>
      </c>
      <c r="P275" s="5">
        <v>1254265500</v>
      </c>
      <c r="Q275" s="7" t="s">
        <v>692</v>
      </c>
      <c r="R275" s="5" t="s">
        <v>41</v>
      </c>
      <c r="S275" s="5">
        <v>0</v>
      </c>
      <c r="T275" s="5">
        <v>4</v>
      </c>
      <c r="U275" s="5">
        <v>3.2</v>
      </c>
      <c r="V275" s="5" t="s">
        <v>38</v>
      </c>
      <c r="W275" s="5">
        <v>1</v>
      </c>
      <c r="X275" s="5">
        <v>1</v>
      </c>
      <c r="Y275" s="5" t="s">
        <v>693</v>
      </c>
      <c r="AA275" s="8">
        <v>46312</v>
      </c>
    </row>
    <row r="276" spans="1:27" ht="409.5" customHeight="1" x14ac:dyDescent="0.2">
      <c r="A276" s="5">
        <v>275</v>
      </c>
      <c r="B276" s="5">
        <v>334307206</v>
      </c>
      <c r="C276" s="5">
        <v>2</v>
      </c>
      <c r="D276" s="5" t="s">
        <v>54</v>
      </c>
      <c r="E276" s="5">
        <v>13</v>
      </c>
      <c r="F276" s="5" t="s">
        <v>224</v>
      </c>
      <c r="G276" s="5">
        <v>76</v>
      </c>
      <c r="H276" s="5">
        <f t="shared" si="8"/>
        <v>4.3307333402863311</v>
      </c>
      <c r="I276" s="5">
        <v>40</v>
      </c>
      <c r="J276" s="5">
        <v>4</v>
      </c>
      <c r="K276" s="5">
        <v>6</v>
      </c>
      <c r="L276" s="6">
        <f t="shared" si="9"/>
        <v>0.66666666666666663</v>
      </c>
      <c r="M276" s="5" t="s">
        <v>28</v>
      </c>
      <c r="N276" s="5" t="s">
        <v>61</v>
      </c>
      <c r="O276" s="5">
        <v>1</v>
      </c>
      <c r="P276" s="5">
        <v>88000000</v>
      </c>
      <c r="Q276" s="7" t="s">
        <v>694</v>
      </c>
      <c r="R276" s="5" t="s">
        <v>37</v>
      </c>
      <c r="S276" s="5">
        <v>3</v>
      </c>
      <c r="T276" s="5">
        <v>2</v>
      </c>
      <c r="U276" s="5">
        <v>3</v>
      </c>
      <c r="V276" s="5" t="s">
        <v>38</v>
      </c>
      <c r="W276" s="5">
        <v>1</v>
      </c>
      <c r="X276" s="5">
        <v>1</v>
      </c>
      <c r="Y276" s="5" t="s">
        <v>695</v>
      </c>
      <c r="AA276" s="8">
        <v>46312</v>
      </c>
    </row>
    <row r="277" spans="1:27" ht="409.5" customHeight="1" x14ac:dyDescent="0.2">
      <c r="A277" s="5">
        <v>276</v>
      </c>
      <c r="B277" s="5">
        <v>334214012</v>
      </c>
      <c r="C277" s="5">
        <v>4</v>
      </c>
      <c r="D277" s="5" t="s">
        <v>64</v>
      </c>
      <c r="E277" s="5">
        <v>8</v>
      </c>
      <c r="F277" s="5" t="s">
        <v>696</v>
      </c>
      <c r="G277" s="5">
        <v>124.4</v>
      </c>
      <c r="H277" s="5">
        <f t="shared" si="8"/>
        <v>4.8235021803050788</v>
      </c>
      <c r="I277" s="5">
        <v>75.400000000000006</v>
      </c>
      <c r="J277" s="5">
        <v>5</v>
      </c>
      <c r="K277" s="5">
        <v>5</v>
      </c>
      <c r="L277" s="6">
        <f t="shared" si="9"/>
        <v>1</v>
      </c>
      <c r="M277" s="5" t="s">
        <v>28</v>
      </c>
      <c r="N277" s="5" t="s">
        <v>61</v>
      </c>
      <c r="O277" s="5">
        <v>1</v>
      </c>
      <c r="P277" s="5">
        <v>105000000</v>
      </c>
      <c r="Q277" s="7" t="s">
        <v>697</v>
      </c>
      <c r="R277" s="5" t="s">
        <v>37</v>
      </c>
      <c r="S277" s="5">
        <v>3</v>
      </c>
      <c r="T277" s="5">
        <v>2</v>
      </c>
      <c r="U277" s="5">
        <v>3.1</v>
      </c>
      <c r="V277" s="5" t="s">
        <v>38</v>
      </c>
      <c r="W277" s="5">
        <v>1</v>
      </c>
      <c r="X277" s="5">
        <v>1</v>
      </c>
      <c r="Y277" s="5" t="s">
        <v>698</v>
      </c>
      <c r="AA277" s="8">
        <v>46312</v>
      </c>
    </row>
    <row r="278" spans="1:27" ht="409.5" customHeight="1" x14ac:dyDescent="0.2">
      <c r="A278" s="5">
        <v>277</v>
      </c>
      <c r="B278" s="5">
        <v>328760948</v>
      </c>
      <c r="C278" s="5">
        <v>4</v>
      </c>
      <c r="D278" s="5" t="s">
        <v>33</v>
      </c>
      <c r="E278" s="5">
        <v>11</v>
      </c>
      <c r="F278" s="5" t="s">
        <v>131</v>
      </c>
      <c r="G278" s="5">
        <v>192.6</v>
      </c>
      <c r="H278" s="5">
        <f t="shared" si="8"/>
        <v>5.2606154993640253</v>
      </c>
      <c r="I278" s="5"/>
      <c r="J278" s="5">
        <v>5</v>
      </c>
      <c r="K278" s="5">
        <v>9</v>
      </c>
      <c r="L278" s="6">
        <f t="shared" si="9"/>
        <v>0.55555555555555558</v>
      </c>
      <c r="M278" s="5" t="s">
        <v>28</v>
      </c>
      <c r="N278" s="5" t="s">
        <v>61</v>
      </c>
      <c r="O278" s="5">
        <v>1</v>
      </c>
      <c r="P278" s="5">
        <v>570000000</v>
      </c>
      <c r="Q278" s="7" t="s">
        <v>699</v>
      </c>
      <c r="R278" s="5" t="s">
        <v>37</v>
      </c>
      <c r="S278" s="5">
        <v>3</v>
      </c>
      <c r="T278" s="5">
        <v>6</v>
      </c>
      <c r="U278" s="5">
        <v>3.5</v>
      </c>
      <c r="V278" s="5" t="s">
        <v>38</v>
      </c>
      <c r="W278" s="5">
        <v>1</v>
      </c>
      <c r="X278" s="5">
        <v>1</v>
      </c>
      <c r="Y278" s="5" t="s">
        <v>700</v>
      </c>
      <c r="AA278" s="8">
        <v>46312</v>
      </c>
    </row>
    <row r="279" spans="1:27" ht="409.5" customHeight="1" x14ac:dyDescent="0.2">
      <c r="A279" s="5">
        <v>278</v>
      </c>
      <c r="B279" s="5">
        <v>327046386</v>
      </c>
      <c r="C279" s="5">
        <v>2</v>
      </c>
      <c r="D279" s="5" t="s">
        <v>64</v>
      </c>
      <c r="E279" s="5">
        <v>10</v>
      </c>
      <c r="F279" s="5" t="s">
        <v>701</v>
      </c>
      <c r="G279" s="5">
        <v>59.2</v>
      </c>
      <c r="H279" s="5">
        <f t="shared" si="8"/>
        <v>4.0809215418899605</v>
      </c>
      <c r="I279" s="5">
        <v>23</v>
      </c>
      <c r="J279" s="5">
        <v>1</v>
      </c>
      <c r="K279" s="5">
        <v>7</v>
      </c>
      <c r="L279" s="6">
        <f t="shared" si="9"/>
        <v>0.14285714285714285</v>
      </c>
      <c r="M279" s="5" t="s">
        <v>28</v>
      </c>
      <c r="N279" s="5"/>
      <c r="O279" s="5">
        <v>0</v>
      </c>
      <c r="P279" s="5">
        <v>42000000</v>
      </c>
      <c r="Q279" s="7" t="s">
        <v>702</v>
      </c>
      <c r="R279" s="5" t="s">
        <v>107</v>
      </c>
      <c r="S279" s="5">
        <v>1</v>
      </c>
      <c r="T279" s="5">
        <v>1</v>
      </c>
      <c r="U279" s="5"/>
      <c r="V279" s="5"/>
      <c r="W279" s="5"/>
      <c r="X279" s="5">
        <v>1</v>
      </c>
      <c r="Y279" s="5" t="s">
        <v>703</v>
      </c>
      <c r="AA279" s="8">
        <v>46312</v>
      </c>
    </row>
    <row r="280" spans="1:27" ht="409.5" customHeight="1" x14ac:dyDescent="0.2">
      <c r="A280" s="5">
        <v>279</v>
      </c>
      <c r="B280" s="5">
        <v>331327966</v>
      </c>
      <c r="C280" s="5">
        <v>3</v>
      </c>
      <c r="D280" s="5" t="s">
        <v>26</v>
      </c>
      <c r="E280" s="5">
        <v>10</v>
      </c>
      <c r="F280" s="5" t="s">
        <v>233</v>
      </c>
      <c r="G280" s="5">
        <v>90</v>
      </c>
      <c r="H280" s="5">
        <f t="shared" si="8"/>
        <v>4.499809670330265</v>
      </c>
      <c r="I280" s="5">
        <v>66</v>
      </c>
      <c r="J280" s="5">
        <v>2</v>
      </c>
      <c r="K280" s="5">
        <v>7</v>
      </c>
      <c r="L280" s="6">
        <f t="shared" si="9"/>
        <v>0.2857142857142857</v>
      </c>
      <c r="M280" s="5" t="s">
        <v>28</v>
      </c>
      <c r="N280" s="5"/>
      <c r="O280" s="5">
        <v>0</v>
      </c>
      <c r="P280" s="5">
        <v>79999000</v>
      </c>
      <c r="Q280" s="7" t="s">
        <v>704</v>
      </c>
      <c r="R280" s="5" t="s">
        <v>37</v>
      </c>
      <c r="S280" s="5">
        <v>3</v>
      </c>
      <c r="T280" s="5">
        <v>2</v>
      </c>
      <c r="U280" s="5">
        <v>2.8</v>
      </c>
      <c r="V280" s="5" t="s">
        <v>52</v>
      </c>
      <c r="W280" s="5">
        <v>0</v>
      </c>
      <c r="X280" s="5">
        <v>1</v>
      </c>
      <c r="Y280" s="5" t="s">
        <v>705</v>
      </c>
      <c r="AA280" s="8">
        <v>46312</v>
      </c>
    </row>
    <row r="281" spans="1:27" ht="409.5" customHeight="1" x14ac:dyDescent="0.2">
      <c r="A281" s="5">
        <v>280</v>
      </c>
      <c r="B281" s="5">
        <v>331228852</v>
      </c>
      <c r="C281" s="5">
        <v>2</v>
      </c>
      <c r="D281" s="5" t="s">
        <v>64</v>
      </c>
      <c r="E281" s="5">
        <v>8</v>
      </c>
      <c r="F281" s="5" t="s">
        <v>181</v>
      </c>
      <c r="G281" s="5">
        <v>48</v>
      </c>
      <c r="H281" s="5">
        <f t="shared" si="8"/>
        <v>3.8712010109078911</v>
      </c>
      <c r="I281" s="5">
        <v>33</v>
      </c>
      <c r="J281" s="5">
        <v>5</v>
      </c>
      <c r="K281" s="5">
        <v>6</v>
      </c>
      <c r="L281" s="6">
        <f t="shared" si="9"/>
        <v>0.83333333333333337</v>
      </c>
      <c r="M281" s="5" t="s">
        <v>28</v>
      </c>
      <c r="N281" s="5" t="s">
        <v>61</v>
      </c>
      <c r="O281" s="5">
        <v>1</v>
      </c>
      <c r="P281" s="5">
        <v>62350854</v>
      </c>
      <c r="Q281" s="7" t="s">
        <v>706</v>
      </c>
      <c r="R281" s="5" t="s">
        <v>37</v>
      </c>
      <c r="S281" s="5">
        <v>3</v>
      </c>
      <c r="T281" s="5">
        <v>1</v>
      </c>
      <c r="U281" s="5">
        <v>3</v>
      </c>
      <c r="V281" s="5" t="s">
        <v>38</v>
      </c>
      <c r="W281" s="5">
        <v>1</v>
      </c>
      <c r="X281" s="5">
        <v>1</v>
      </c>
      <c r="Y281" s="5" t="s">
        <v>707</v>
      </c>
      <c r="AA281" s="8">
        <v>46312</v>
      </c>
    </row>
    <row r="282" spans="1:27" ht="409.5" customHeight="1" x14ac:dyDescent="0.2">
      <c r="A282" s="5">
        <v>281</v>
      </c>
      <c r="B282" s="5">
        <v>333843808</v>
      </c>
      <c r="C282" s="5">
        <v>6</v>
      </c>
      <c r="D282" s="5" t="s">
        <v>33</v>
      </c>
      <c r="E282" s="5">
        <v>11</v>
      </c>
      <c r="F282" s="5" t="s">
        <v>525</v>
      </c>
      <c r="G282" s="5">
        <v>901</v>
      </c>
      <c r="H282" s="5">
        <f t="shared" si="8"/>
        <v>6.8035052576083377</v>
      </c>
      <c r="I282" s="5">
        <v>700</v>
      </c>
      <c r="J282" s="5">
        <v>8</v>
      </c>
      <c r="K282" s="5">
        <v>8</v>
      </c>
      <c r="L282" s="6">
        <f t="shared" si="9"/>
        <v>1</v>
      </c>
      <c r="M282" s="5" t="s">
        <v>44</v>
      </c>
      <c r="N282" s="5" t="s">
        <v>35</v>
      </c>
      <c r="O282" s="5">
        <v>2</v>
      </c>
      <c r="P282" s="5">
        <v>2926619500</v>
      </c>
      <c r="Q282" s="7" t="s">
        <v>708</v>
      </c>
      <c r="R282" s="5" t="s">
        <v>41</v>
      </c>
      <c r="S282" s="5">
        <v>0</v>
      </c>
      <c r="T282" s="5">
        <v>5</v>
      </c>
      <c r="U282" s="5">
        <v>3.8</v>
      </c>
      <c r="V282" s="5" t="s">
        <v>31</v>
      </c>
      <c r="W282" s="5">
        <v>2</v>
      </c>
      <c r="X282" s="5">
        <v>1</v>
      </c>
      <c r="Y282" s="5" t="s">
        <v>709</v>
      </c>
      <c r="AA282" s="8">
        <v>46312</v>
      </c>
    </row>
    <row r="283" spans="1:27" ht="409.5" customHeight="1" x14ac:dyDescent="0.2">
      <c r="A283" s="5">
        <v>282</v>
      </c>
      <c r="B283" s="5">
        <v>329883864</v>
      </c>
      <c r="C283" s="5">
        <v>4</v>
      </c>
      <c r="D283" s="5" t="s">
        <v>26</v>
      </c>
      <c r="E283" s="5">
        <v>10</v>
      </c>
      <c r="F283" s="5" t="s">
        <v>99</v>
      </c>
      <c r="G283" s="5">
        <v>113.8</v>
      </c>
      <c r="H283" s="5">
        <f t="shared" si="8"/>
        <v>4.7344425216922303</v>
      </c>
      <c r="I283" s="5">
        <v>64.8</v>
      </c>
      <c r="J283" s="5">
        <v>4</v>
      </c>
      <c r="K283" s="5">
        <v>5</v>
      </c>
      <c r="L283" s="6">
        <f t="shared" si="9"/>
        <v>0.8</v>
      </c>
      <c r="M283" s="5" t="s">
        <v>28</v>
      </c>
      <c r="N283" s="5" t="s">
        <v>61</v>
      </c>
      <c r="O283" s="5">
        <v>1</v>
      </c>
      <c r="P283" s="5">
        <v>115000000</v>
      </c>
      <c r="Q283" s="7" t="s">
        <v>710</v>
      </c>
      <c r="R283" s="5" t="s">
        <v>37</v>
      </c>
      <c r="S283" s="5">
        <v>3</v>
      </c>
      <c r="T283" s="5">
        <v>2</v>
      </c>
      <c r="U283" s="5">
        <v>3.5</v>
      </c>
      <c r="V283" s="5" t="s">
        <v>38</v>
      </c>
      <c r="W283" s="5">
        <v>1</v>
      </c>
      <c r="X283" s="5">
        <v>1</v>
      </c>
      <c r="Y283" s="5" t="s">
        <v>711</v>
      </c>
      <c r="AA283" s="8">
        <v>46312</v>
      </c>
    </row>
    <row r="284" spans="1:27" ht="409.5" customHeight="1" x14ac:dyDescent="0.2">
      <c r="A284" s="5">
        <v>283</v>
      </c>
      <c r="B284" s="5">
        <v>334690634</v>
      </c>
      <c r="C284" s="5">
        <v>3</v>
      </c>
      <c r="D284" s="5" t="s">
        <v>64</v>
      </c>
      <c r="E284" s="5">
        <v>7</v>
      </c>
      <c r="F284" s="5" t="s">
        <v>96</v>
      </c>
      <c r="G284" s="5">
        <v>111.4</v>
      </c>
      <c r="H284" s="5">
        <f t="shared" si="8"/>
        <v>4.7131273274931837</v>
      </c>
      <c r="I284" s="5">
        <v>66</v>
      </c>
      <c r="J284" s="5">
        <v>4</v>
      </c>
      <c r="K284" s="5">
        <v>6</v>
      </c>
      <c r="L284" s="6">
        <f t="shared" si="9"/>
        <v>0.66666666666666663</v>
      </c>
      <c r="M284" s="5" t="s">
        <v>28</v>
      </c>
      <c r="N284" s="5" t="s">
        <v>61</v>
      </c>
      <c r="O284" s="5">
        <v>1</v>
      </c>
      <c r="P284" s="5">
        <v>170000000</v>
      </c>
      <c r="Q284" s="7" t="s">
        <v>712</v>
      </c>
      <c r="R284" s="5" t="s">
        <v>30</v>
      </c>
      <c r="S284" s="5">
        <v>2</v>
      </c>
      <c r="T284" s="5">
        <v>4</v>
      </c>
      <c r="U284" s="5">
        <v>2.8</v>
      </c>
      <c r="V284" s="5" t="s">
        <v>52</v>
      </c>
      <c r="W284" s="5">
        <v>0</v>
      </c>
      <c r="X284" s="5">
        <v>1</v>
      </c>
      <c r="Y284" s="5" t="s">
        <v>713</v>
      </c>
      <c r="AA284" s="8">
        <v>46312</v>
      </c>
    </row>
    <row r="285" spans="1:27" ht="409.5" customHeight="1" x14ac:dyDescent="0.2">
      <c r="A285" s="5">
        <v>284</v>
      </c>
      <c r="B285" s="5">
        <v>319264259</v>
      </c>
      <c r="C285" s="5">
        <v>6</v>
      </c>
      <c r="D285" s="5" t="s">
        <v>714</v>
      </c>
      <c r="E285" s="5">
        <v>15</v>
      </c>
      <c r="F285" s="5" t="s">
        <v>525</v>
      </c>
      <c r="G285" s="5">
        <v>952</v>
      </c>
      <c r="H285" s="5">
        <f t="shared" si="8"/>
        <v>6.8585650347913649</v>
      </c>
      <c r="I285" s="5">
        <v>840</v>
      </c>
      <c r="J285" s="5">
        <v>8</v>
      </c>
      <c r="K285" s="5">
        <v>8</v>
      </c>
      <c r="L285" s="6">
        <f t="shared" si="9"/>
        <v>1</v>
      </c>
      <c r="M285" s="5"/>
      <c r="N285" s="5" t="s">
        <v>35</v>
      </c>
      <c r="O285" s="5">
        <v>2</v>
      </c>
      <c r="P285" s="5">
        <v>2926619500</v>
      </c>
      <c r="Q285" s="7" t="s">
        <v>715</v>
      </c>
      <c r="R285" s="5"/>
      <c r="S285" s="5"/>
      <c r="T285" s="5">
        <v>7</v>
      </c>
      <c r="U285" s="5">
        <v>3.8</v>
      </c>
      <c r="V285" s="5" t="s">
        <v>31</v>
      </c>
      <c r="W285" s="5">
        <v>2</v>
      </c>
      <c r="X285" s="5">
        <v>1</v>
      </c>
      <c r="Y285" s="5" t="s">
        <v>716</v>
      </c>
      <c r="AA285" s="8">
        <v>46312</v>
      </c>
    </row>
    <row r="286" spans="1:27" ht="409.5" customHeight="1" x14ac:dyDescent="0.2">
      <c r="A286" s="5">
        <v>285</v>
      </c>
      <c r="B286" s="5">
        <v>332805814</v>
      </c>
      <c r="C286" s="5">
        <v>3</v>
      </c>
      <c r="D286" s="5" t="s">
        <v>54</v>
      </c>
      <c r="E286" s="5">
        <v>7</v>
      </c>
      <c r="F286" s="5" t="s">
        <v>230</v>
      </c>
      <c r="G286" s="5">
        <v>81.099999999999994</v>
      </c>
      <c r="H286" s="5">
        <f t="shared" si="8"/>
        <v>4.3956829611213672</v>
      </c>
      <c r="I286" s="5"/>
      <c r="J286" s="5">
        <v>2</v>
      </c>
      <c r="K286" s="5">
        <v>8</v>
      </c>
      <c r="L286" s="6">
        <f t="shared" si="9"/>
        <v>0.25</v>
      </c>
      <c r="M286" s="5" t="s">
        <v>28</v>
      </c>
      <c r="N286" s="5" t="s">
        <v>61</v>
      </c>
      <c r="O286" s="5">
        <v>1</v>
      </c>
      <c r="P286" s="5">
        <v>66000000</v>
      </c>
      <c r="Q286" s="7" t="s">
        <v>717</v>
      </c>
      <c r="R286" s="5" t="s">
        <v>37</v>
      </c>
      <c r="S286" s="5">
        <v>3</v>
      </c>
      <c r="T286" s="5">
        <v>2</v>
      </c>
      <c r="U286" s="5">
        <v>3.4</v>
      </c>
      <c r="V286" s="5" t="s">
        <v>38</v>
      </c>
      <c r="W286" s="5">
        <v>1</v>
      </c>
      <c r="X286" s="5">
        <v>1</v>
      </c>
      <c r="Y286" s="5" t="s">
        <v>718</v>
      </c>
      <c r="AA286" s="8">
        <v>46312</v>
      </c>
    </row>
    <row r="287" spans="1:27" ht="409.5" customHeight="1" x14ac:dyDescent="0.2">
      <c r="A287" s="5">
        <v>286</v>
      </c>
      <c r="B287" s="5">
        <v>333003496</v>
      </c>
      <c r="C287" s="5">
        <v>2</v>
      </c>
      <c r="D287" s="5" t="s">
        <v>54</v>
      </c>
      <c r="E287" s="5">
        <v>10</v>
      </c>
      <c r="F287" s="5" t="s">
        <v>719</v>
      </c>
      <c r="G287" s="5">
        <v>62</v>
      </c>
      <c r="H287" s="5">
        <f t="shared" si="8"/>
        <v>4.1271343850450917</v>
      </c>
      <c r="I287" s="5">
        <v>40</v>
      </c>
      <c r="J287" s="5">
        <v>5</v>
      </c>
      <c r="K287" s="5">
        <v>12</v>
      </c>
      <c r="L287" s="6">
        <f t="shared" si="9"/>
        <v>0.41666666666666669</v>
      </c>
      <c r="M287" s="5" t="s">
        <v>57</v>
      </c>
      <c r="N287" s="5"/>
      <c r="O287" s="5">
        <v>0</v>
      </c>
      <c r="P287" s="5">
        <v>65000000</v>
      </c>
      <c r="Q287" s="7" t="s">
        <v>720</v>
      </c>
      <c r="R287" s="5" t="s">
        <v>37</v>
      </c>
      <c r="S287" s="5">
        <v>3</v>
      </c>
      <c r="T287" s="5"/>
      <c r="U287" s="5"/>
      <c r="V287" s="5"/>
      <c r="W287" s="5"/>
      <c r="X287" s="5">
        <v>1</v>
      </c>
      <c r="Y287" s="5" t="s">
        <v>721</v>
      </c>
      <c r="AA287" s="8">
        <v>46312</v>
      </c>
    </row>
    <row r="288" spans="1:27" ht="409.5" customHeight="1" x14ac:dyDescent="0.2">
      <c r="A288" s="5">
        <v>287</v>
      </c>
      <c r="B288" s="5">
        <v>326313686</v>
      </c>
      <c r="C288" s="5">
        <v>6</v>
      </c>
      <c r="D288" s="5" t="s">
        <v>54</v>
      </c>
      <c r="E288" s="5">
        <v>7</v>
      </c>
      <c r="F288" s="5" t="s">
        <v>301</v>
      </c>
      <c r="G288" s="5">
        <v>323.5</v>
      </c>
      <c r="H288" s="5">
        <f t="shared" si="8"/>
        <v>5.7791991139409555</v>
      </c>
      <c r="I288" s="5"/>
      <c r="J288" s="5">
        <v>3</v>
      </c>
      <c r="K288" s="5">
        <v>8</v>
      </c>
      <c r="L288" s="6">
        <f t="shared" si="9"/>
        <v>0.375</v>
      </c>
      <c r="M288" s="5" t="s">
        <v>57</v>
      </c>
      <c r="N288" s="5" t="s">
        <v>35</v>
      </c>
      <c r="O288" s="5">
        <v>2</v>
      </c>
      <c r="P288" s="5">
        <v>436725000</v>
      </c>
      <c r="Q288" s="7" t="s">
        <v>722</v>
      </c>
      <c r="R288" s="5" t="s">
        <v>37</v>
      </c>
      <c r="S288" s="5">
        <v>3</v>
      </c>
      <c r="T288" s="5">
        <v>4</v>
      </c>
      <c r="U288" s="5"/>
      <c r="V288" s="5"/>
      <c r="W288" s="5"/>
      <c r="X288" s="5">
        <v>1</v>
      </c>
      <c r="Y288" s="5" t="s">
        <v>723</v>
      </c>
      <c r="AA288" s="8">
        <v>46312</v>
      </c>
    </row>
    <row r="289" spans="1:27" ht="409.5" customHeight="1" x14ac:dyDescent="0.2">
      <c r="A289" s="5">
        <v>288</v>
      </c>
      <c r="B289" s="5">
        <v>330475537</v>
      </c>
      <c r="C289" s="5">
        <v>3</v>
      </c>
      <c r="D289" s="5" t="s">
        <v>33</v>
      </c>
      <c r="E289" s="5">
        <v>11</v>
      </c>
      <c r="F289" s="5" t="s">
        <v>93</v>
      </c>
      <c r="G289" s="5">
        <v>65</v>
      </c>
      <c r="H289" s="5">
        <f t="shared" si="8"/>
        <v>4.1743872698956368</v>
      </c>
      <c r="I289" s="5">
        <v>39</v>
      </c>
      <c r="J289" s="5">
        <v>7</v>
      </c>
      <c r="K289" s="5">
        <v>7</v>
      </c>
      <c r="L289" s="6">
        <f t="shared" si="9"/>
        <v>1</v>
      </c>
      <c r="M289" s="5" t="s">
        <v>66</v>
      </c>
      <c r="N289" s="5" t="s">
        <v>61</v>
      </c>
      <c r="O289" s="5">
        <v>1</v>
      </c>
      <c r="P289" s="5">
        <v>50500000</v>
      </c>
      <c r="Q289" s="7" t="s">
        <v>724</v>
      </c>
      <c r="R289" s="5" t="s">
        <v>107</v>
      </c>
      <c r="S289" s="5">
        <v>1</v>
      </c>
      <c r="T289" s="5">
        <v>1</v>
      </c>
      <c r="U289" s="5">
        <v>3</v>
      </c>
      <c r="V289" s="5" t="s">
        <v>38</v>
      </c>
      <c r="W289" s="5">
        <v>1</v>
      </c>
      <c r="X289" s="5">
        <v>1</v>
      </c>
      <c r="Y289" s="5" t="s">
        <v>725</v>
      </c>
      <c r="AA289" s="8">
        <v>46312</v>
      </c>
    </row>
    <row r="290" spans="1:27" ht="409.5" customHeight="1" x14ac:dyDescent="0.2">
      <c r="A290" s="5">
        <v>289</v>
      </c>
      <c r="B290" s="5">
        <v>294650782</v>
      </c>
      <c r="C290" s="5">
        <v>6</v>
      </c>
      <c r="D290" s="5" t="s">
        <v>33</v>
      </c>
      <c r="E290" s="5">
        <v>11</v>
      </c>
      <c r="F290" s="5" t="s">
        <v>525</v>
      </c>
      <c r="G290" s="5">
        <v>952</v>
      </c>
      <c r="H290" s="5">
        <f t="shared" si="8"/>
        <v>6.8585650347913649</v>
      </c>
      <c r="I290" s="5"/>
      <c r="J290" s="5">
        <v>8</v>
      </c>
      <c r="K290" s="5">
        <v>8</v>
      </c>
      <c r="L290" s="6">
        <f t="shared" si="9"/>
        <v>1</v>
      </c>
      <c r="M290" s="5" t="s">
        <v>57</v>
      </c>
      <c r="N290" s="5" t="s">
        <v>35</v>
      </c>
      <c r="O290" s="5">
        <v>2</v>
      </c>
      <c r="P290" s="5">
        <v>2926619500</v>
      </c>
      <c r="Q290" s="7" t="s">
        <v>726</v>
      </c>
      <c r="R290" s="5" t="s">
        <v>41</v>
      </c>
      <c r="S290" s="5">
        <v>0</v>
      </c>
      <c r="T290" s="5">
        <v>5</v>
      </c>
      <c r="U290" s="5">
        <v>3.8</v>
      </c>
      <c r="V290" s="5" t="s">
        <v>31</v>
      </c>
      <c r="W290" s="5">
        <v>2</v>
      </c>
      <c r="X290" s="5">
        <v>1</v>
      </c>
      <c r="Y290" s="5" t="s">
        <v>727</v>
      </c>
      <c r="AA290" s="8">
        <v>46312</v>
      </c>
    </row>
    <row r="291" spans="1:27" ht="409.5" customHeight="1" x14ac:dyDescent="0.2">
      <c r="A291" s="5">
        <v>290</v>
      </c>
      <c r="B291" s="5">
        <v>334993157</v>
      </c>
      <c r="C291" s="5">
        <v>4</v>
      </c>
      <c r="D291" s="5" t="s">
        <v>54</v>
      </c>
      <c r="E291" s="5">
        <v>9</v>
      </c>
      <c r="F291" s="5" t="s">
        <v>728</v>
      </c>
      <c r="G291" s="5">
        <v>75.900000000000006</v>
      </c>
      <c r="H291" s="5">
        <f t="shared" si="8"/>
        <v>4.3294166844015844</v>
      </c>
      <c r="I291" s="5">
        <v>53.4</v>
      </c>
      <c r="J291" s="5">
        <v>1</v>
      </c>
      <c r="K291" s="5">
        <v>6</v>
      </c>
      <c r="L291" s="6">
        <f t="shared" si="9"/>
        <v>0.16666666666666666</v>
      </c>
      <c r="M291" s="5" t="s">
        <v>28</v>
      </c>
      <c r="N291" s="5" t="s">
        <v>67</v>
      </c>
      <c r="O291" s="5">
        <v>1</v>
      </c>
      <c r="P291" s="5">
        <v>53130000</v>
      </c>
      <c r="Q291" s="7" t="s">
        <v>729</v>
      </c>
      <c r="R291" s="5" t="s">
        <v>41</v>
      </c>
      <c r="S291" s="5">
        <v>0</v>
      </c>
      <c r="T291" s="5">
        <v>1</v>
      </c>
      <c r="U291" s="5">
        <v>3</v>
      </c>
      <c r="V291" s="5" t="s">
        <v>38</v>
      </c>
      <c r="W291" s="5">
        <v>1</v>
      </c>
      <c r="X291" s="5">
        <v>1</v>
      </c>
      <c r="Y291" s="5" t="s">
        <v>730</v>
      </c>
      <c r="AA291" s="8">
        <v>46312</v>
      </c>
    </row>
    <row r="292" spans="1:27" ht="409.5" customHeight="1" x14ac:dyDescent="0.2">
      <c r="A292" s="5">
        <v>291</v>
      </c>
      <c r="B292" s="5">
        <v>331852526</v>
      </c>
      <c r="C292" s="5">
        <v>4</v>
      </c>
      <c r="D292" s="5" t="s">
        <v>54</v>
      </c>
      <c r="E292" s="5">
        <v>9</v>
      </c>
      <c r="F292" s="5" t="s">
        <v>290</v>
      </c>
      <c r="G292" s="5">
        <v>161</v>
      </c>
      <c r="H292" s="5">
        <f t="shared" si="8"/>
        <v>5.0814043649844631</v>
      </c>
      <c r="I292" s="5">
        <v>135</v>
      </c>
      <c r="J292" s="5">
        <v>2</v>
      </c>
      <c r="K292" s="5">
        <v>5</v>
      </c>
      <c r="L292" s="6">
        <f t="shared" si="9"/>
        <v>0.4</v>
      </c>
      <c r="M292" s="5" t="s">
        <v>28</v>
      </c>
      <c r="N292" s="5" t="s">
        <v>61</v>
      </c>
      <c r="O292" s="5">
        <v>1</v>
      </c>
      <c r="P292" s="5">
        <v>165000000</v>
      </c>
      <c r="Q292" s="7" t="s">
        <v>731</v>
      </c>
      <c r="R292" s="5" t="s">
        <v>37</v>
      </c>
      <c r="S292" s="5">
        <v>3</v>
      </c>
      <c r="T292" s="5">
        <v>3</v>
      </c>
      <c r="U292" s="5"/>
      <c r="V292" s="5"/>
      <c r="W292" s="5"/>
      <c r="X292" s="5">
        <v>1</v>
      </c>
      <c r="Y292" s="5" t="s">
        <v>732</v>
      </c>
      <c r="AA292" s="8">
        <v>46312</v>
      </c>
    </row>
    <row r="293" spans="1:27" ht="409.5" customHeight="1" x14ac:dyDescent="0.2">
      <c r="A293" s="5">
        <v>292</v>
      </c>
      <c r="B293" s="5">
        <v>329470754</v>
      </c>
      <c r="C293" s="5">
        <v>2</v>
      </c>
      <c r="D293" s="5" t="s">
        <v>26</v>
      </c>
      <c r="E293" s="5">
        <v>10</v>
      </c>
      <c r="F293" s="5" t="s">
        <v>293</v>
      </c>
      <c r="G293" s="5">
        <v>61.6</v>
      </c>
      <c r="H293" s="5">
        <f t="shared" si="8"/>
        <v>4.1206618705394744</v>
      </c>
      <c r="I293" s="5">
        <v>24.4</v>
      </c>
      <c r="J293" s="5">
        <v>3</v>
      </c>
      <c r="K293" s="5">
        <v>9</v>
      </c>
      <c r="L293" s="6">
        <f t="shared" si="9"/>
        <v>0.33333333333333331</v>
      </c>
      <c r="M293" s="5" t="s">
        <v>44</v>
      </c>
      <c r="N293" s="5"/>
      <c r="O293" s="5">
        <v>0</v>
      </c>
      <c r="P293" s="5">
        <v>73000000</v>
      </c>
      <c r="Q293" s="7" t="s">
        <v>733</v>
      </c>
      <c r="R293" s="5" t="s">
        <v>37</v>
      </c>
      <c r="S293" s="5">
        <v>3</v>
      </c>
      <c r="T293" s="5">
        <v>1</v>
      </c>
      <c r="U293" s="5">
        <v>3</v>
      </c>
      <c r="V293" s="5" t="s">
        <v>38</v>
      </c>
      <c r="W293" s="5">
        <v>1</v>
      </c>
      <c r="X293" s="5">
        <v>1</v>
      </c>
      <c r="Y293" s="5" t="s">
        <v>734</v>
      </c>
      <c r="AA293" s="8">
        <v>46312</v>
      </c>
    </row>
    <row r="294" spans="1:27" ht="409.5" customHeight="1" x14ac:dyDescent="0.2">
      <c r="A294" s="5">
        <v>293</v>
      </c>
      <c r="B294" s="5">
        <v>334529112</v>
      </c>
      <c r="C294" s="5">
        <v>1</v>
      </c>
      <c r="D294" s="5" t="s">
        <v>64</v>
      </c>
      <c r="E294" s="5">
        <v>7</v>
      </c>
      <c r="F294" s="5" t="s">
        <v>457</v>
      </c>
      <c r="G294" s="5">
        <v>38.299999999999997</v>
      </c>
      <c r="H294" s="5">
        <f t="shared" si="8"/>
        <v>3.6454498961866002</v>
      </c>
      <c r="I294" s="5">
        <v>18</v>
      </c>
      <c r="J294" s="5">
        <v>1</v>
      </c>
      <c r="K294" s="5">
        <v>7</v>
      </c>
      <c r="L294" s="6">
        <f t="shared" si="9"/>
        <v>0.14285714285714285</v>
      </c>
      <c r="M294" s="5" t="s">
        <v>28</v>
      </c>
      <c r="N294" s="5" t="s">
        <v>61</v>
      </c>
      <c r="O294" s="5">
        <v>1</v>
      </c>
      <c r="P294" s="5">
        <v>45000000</v>
      </c>
      <c r="Q294" s="7" t="s">
        <v>735</v>
      </c>
      <c r="R294" s="5" t="s">
        <v>37</v>
      </c>
      <c r="S294" s="5">
        <v>3</v>
      </c>
      <c r="T294" s="5">
        <v>1</v>
      </c>
      <c r="U294" s="5">
        <v>2.8</v>
      </c>
      <c r="V294" s="5" t="s">
        <v>52</v>
      </c>
      <c r="W294" s="5">
        <v>0</v>
      </c>
      <c r="X294" s="5">
        <v>1</v>
      </c>
      <c r="Y294" s="5" t="s">
        <v>736</v>
      </c>
      <c r="AA294" s="8">
        <v>46312</v>
      </c>
    </row>
    <row r="295" spans="1:27" ht="409.5" customHeight="1" x14ac:dyDescent="0.2">
      <c r="A295" s="5">
        <v>294</v>
      </c>
      <c r="B295" s="5">
        <v>332768474</v>
      </c>
      <c r="C295" s="5">
        <v>4</v>
      </c>
      <c r="D295" s="5" t="s">
        <v>26</v>
      </c>
      <c r="E295" s="5">
        <v>10</v>
      </c>
      <c r="F295" s="5" t="s">
        <v>737</v>
      </c>
      <c r="G295" s="5">
        <v>92.4</v>
      </c>
      <c r="H295" s="5">
        <f t="shared" si="8"/>
        <v>4.5261269786476381</v>
      </c>
      <c r="I295" s="5">
        <v>56.6</v>
      </c>
      <c r="J295" s="5">
        <v>6</v>
      </c>
      <c r="K295" s="5">
        <v>6</v>
      </c>
      <c r="L295" s="6">
        <f t="shared" si="9"/>
        <v>1</v>
      </c>
      <c r="M295" s="5" t="s">
        <v>28</v>
      </c>
      <c r="N295" s="5" t="s">
        <v>67</v>
      </c>
      <c r="O295" s="5">
        <v>1</v>
      </c>
      <c r="P295" s="5">
        <v>89500000</v>
      </c>
      <c r="Q295" s="7" t="s">
        <v>738</v>
      </c>
      <c r="R295" s="5" t="s">
        <v>37</v>
      </c>
      <c r="S295" s="5">
        <v>3</v>
      </c>
      <c r="T295" s="5">
        <v>2</v>
      </c>
      <c r="U295" s="5">
        <v>3.1</v>
      </c>
      <c r="V295" s="5" t="s">
        <v>38</v>
      </c>
      <c r="W295" s="5">
        <v>1</v>
      </c>
      <c r="X295" s="5">
        <v>1</v>
      </c>
      <c r="Y295" s="5" t="s">
        <v>739</v>
      </c>
      <c r="AA295" s="8">
        <v>46312</v>
      </c>
    </row>
    <row r="296" spans="1:27" ht="409.5" customHeight="1" x14ac:dyDescent="0.2">
      <c r="A296" s="5">
        <v>295</v>
      </c>
      <c r="B296" s="5">
        <v>334232928</v>
      </c>
      <c r="C296" s="5">
        <v>2</v>
      </c>
      <c r="D296" s="5" t="s">
        <v>26</v>
      </c>
      <c r="E296" s="5">
        <v>8</v>
      </c>
      <c r="F296" s="5" t="s">
        <v>186</v>
      </c>
      <c r="G296" s="5">
        <v>67</v>
      </c>
      <c r="H296" s="5">
        <f t="shared" si="8"/>
        <v>4.2046926193909657</v>
      </c>
      <c r="I296" s="5">
        <v>40</v>
      </c>
      <c r="J296" s="5">
        <v>3</v>
      </c>
      <c r="K296" s="5">
        <v>4</v>
      </c>
      <c r="L296" s="6">
        <f t="shared" si="9"/>
        <v>0.75</v>
      </c>
      <c r="M296" s="5" t="s">
        <v>28</v>
      </c>
      <c r="N296" s="5"/>
      <c r="O296" s="5">
        <v>0</v>
      </c>
      <c r="P296" s="5">
        <v>74000000</v>
      </c>
      <c r="Q296" s="7" t="s">
        <v>740</v>
      </c>
      <c r="R296" s="5" t="s">
        <v>37</v>
      </c>
      <c r="S296" s="5">
        <v>3</v>
      </c>
      <c r="T296" s="5">
        <v>1</v>
      </c>
      <c r="U296" s="5"/>
      <c r="V296" s="5"/>
      <c r="W296" s="5"/>
      <c r="X296" s="5">
        <v>1</v>
      </c>
      <c r="Y296" s="5" t="s">
        <v>741</v>
      </c>
      <c r="AA296" s="8">
        <v>46312</v>
      </c>
    </row>
    <row r="297" spans="1:27" ht="409.5" customHeight="1" x14ac:dyDescent="0.2">
      <c r="A297" s="5">
        <v>296</v>
      </c>
      <c r="B297" s="5">
        <v>330531897</v>
      </c>
      <c r="C297" s="5">
        <v>3</v>
      </c>
      <c r="D297" s="5" t="s">
        <v>33</v>
      </c>
      <c r="E297" s="5">
        <v>11</v>
      </c>
      <c r="F297" s="5" t="s">
        <v>93</v>
      </c>
      <c r="G297" s="5">
        <v>61</v>
      </c>
      <c r="H297" s="5">
        <f t="shared" si="8"/>
        <v>4.1108738641733114</v>
      </c>
      <c r="I297" s="5">
        <v>39</v>
      </c>
      <c r="J297" s="5">
        <v>7</v>
      </c>
      <c r="K297" s="5">
        <v>9</v>
      </c>
      <c r="L297" s="6">
        <f t="shared" si="9"/>
        <v>0.77777777777777779</v>
      </c>
      <c r="M297" s="5" t="s">
        <v>28</v>
      </c>
      <c r="N297" s="5"/>
      <c r="O297" s="5">
        <v>0</v>
      </c>
      <c r="P297" s="5">
        <v>50500000</v>
      </c>
      <c r="Q297" s="7" t="s">
        <v>742</v>
      </c>
      <c r="R297" s="5" t="s">
        <v>107</v>
      </c>
      <c r="S297" s="5">
        <v>1</v>
      </c>
      <c r="T297" s="5">
        <v>1</v>
      </c>
      <c r="U297" s="5">
        <v>3</v>
      </c>
      <c r="V297" s="5" t="s">
        <v>38</v>
      </c>
      <c r="W297" s="5">
        <v>1</v>
      </c>
      <c r="X297" s="5">
        <v>1</v>
      </c>
      <c r="Y297" s="5" t="s">
        <v>743</v>
      </c>
      <c r="AA297" s="8">
        <v>46312</v>
      </c>
    </row>
    <row r="298" spans="1:27" ht="409.5" customHeight="1" x14ac:dyDescent="0.2">
      <c r="A298" s="5">
        <v>297</v>
      </c>
      <c r="B298" s="5">
        <v>320914766</v>
      </c>
      <c r="C298" s="5">
        <v>5</v>
      </c>
      <c r="D298" s="5" t="s">
        <v>54</v>
      </c>
      <c r="E298" s="5">
        <v>9</v>
      </c>
      <c r="F298" s="5" t="s">
        <v>128</v>
      </c>
      <c r="G298" s="5">
        <v>250</v>
      </c>
      <c r="H298" s="5">
        <f t="shared" si="8"/>
        <v>5.521460917862246</v>
      </c>
      <c r="I298" s="5">
        <v>170</v>
      </c>
      <c r="J298" s="5">
        <v>6</v>
      </c>
      <c r="K298" s="5">
        <v>6</v>
      </c>
      <c r="L298" s="6">
        <f t="shared" si="9"/>
        <v>1</v>
      </c>
      <c r="M298" s="5" t="s">
        <v>28</v>
      </c>
      <c r="N298" s="5"/>
      <c r="O298" s="5">
        <v>0</v>
      </c>
      <c r="P298" s="5">
        <v>179000000</v>
      </c>
      <c r="Q298" s="7" t="s">
        <v>744</v>
      </c>
      <c r="R298" s="5" t="s">
        <v>30</v>
      </c>
      <c r="S298" s="5">
        <v>2</v>
      </c>
      <c r="T298" s="5">
        <v>3</v>
      </c>
      <c r="U298" s="5"/>
      <c r="V298" s="5"/>
      <c r="W298" s="5"/>
      <c r="X298" s="5">
        <v>1</v>
      </c>
      <c r="Y298" s="5" t="s">
        <v>745</v>
      </c>
      <c r="AA298" s="8">
        <v>46312</v>
      </c>
    </row>
    <row r="299" spans="1:27" ht="409.5" customHeight="1" x14ac:dyDescent="0.2">
      <c r="A299" s="5">
        <v>298</v>
      </c>
      <c r="B299" s="5">
        <v>332658828</v>
      </c>
      <c r="C299" s="5">
        <v>3</v>
      </c>
      <c r="D299" s="5" t="s">
        <v>54</v>
      </c>
      <c r="E299" s="5">
        <v>8</v>
      </c>
      <c r="F299" s="5" t="s">
        <v>76</v>
      </c>
      <c r="G299" s="5">
        <v>65</v>
      </c>
      <c r="H299" s="5">
        <f t="shared" si="8"/>
        <v>4.1743872698956368</v>
      </c>
      <c r="I299" s="5">
        <v>40</v>
      </c>
      <c r="J299" s="5">
        <v>2</v>
      </c>
      <c r="K299" s="5">
        <v>4</v>
      </c>
      <c r="L299" s="6">
        <f t="shared" si="9"/>
        <v>0.5</v>
      </c>
      <c r="M299" s="5" t="s">
        <v>28</v>
      </c>
      <c r="N299" s="5"/>
      <c r="O299" s="5">
        <v>0</v>
      </c>
      <c r="P299" s="5">
        <v>45700000</v>
      </c>
      <c r="Q299" s="7" t="s">
        <v>746</v>
      </c>
      <c r="R299" s="5" t="s">
        <v>107</v>
      </c>
      <c r="S299" s="5">
        <v>1</v>
      </c>
      <c r="T299" s="5">
        <v>1</v>
      </c>
      <c r="U299" s="5"/>
      <c r="V299" s="5"/>
      <c r="W299" s="5"/>
      <c r="X299" s="5">
        <v>1</v>
      </c>
      <c r="Y299" s="5" t="s">
        <v>747</v>
      </c>
      <c r="AA299" s="8">
        <v>46312</v>
      </c>
    </row>
    <row r="300" spans="1:27" ht="409.5" customHeight="1" x14ac:dyDescent="0.2">
      <c r="A300" s="5">
        <v>299</v>
      </c>
      <c r="B300" s="5">
        <v>334231436</v>
      </c>
      <c r="C300" s="5">
        <v>2</v>
      </c>
      <c r="D300" s="5" t="s">
        <v>54</v>
      </c>
      <c r="E300" s="5">
        <v>9</v>
      </c>
      <c r="F300" s="5" t="s">
        <v>304</v>
      </c>
      <c r="G300" s="5">
        <v>55.6</v>
      </c>
      <c r="H300" s="5">
        <f t="shared" si="8"/>
        <v>4.0181832012565364</v>
      </c>
      <c r="I300" s="5">
        <v>30.5</v>
      </c>
      <c r="J300" s="5">
        <v>6</v>
      </c>
      <c r="K300" s="5">
        <v>6</v>
      </c>
      <c r="L300" s="6">
        <f t="shared" si="9"/>
        <v>1</v>
      </c>
      <c r="M300" s="5" t="s">
        <v>28</v>
      </c>
      <c r="N300" s="5" t="s">
        <v>61</v>
      </c>
      <c r="O300" s="5">
        <v>1</v>
      </c>
      <c r="P300" s="5">
        <v>53000000</v>
      </c>
      <c r="Q300" s="7" t="s">
        <v>748</v>
      </c>
      <c r="R300" s="5" t="s">
        <v>37</v>
      </c>
      <c r="S300" s="5">
        <v>3</v>
      </c>
      <c r="T300" s="5">
        <v>1</v>
      </c>
      <c r="U300" s="5"/>
      <c r="V300" s="5"/>
      <c r="W300" s="5"/>
      <c r="X300" s="5">
        <v>1</v>
      </c>
      <c r="Y300" s="5" t="s">
        <v>749</v>
      </c>
      <c r="AA300" s="8">
        <v>46312</v>
      </c>
    </row>
    <row r="301" spans="1:27" ht="409.5" customHeight="1" x14ac:dyDescent="0.2">
      <c r="A301" s="5">
        <v>300</v>
      </c>
      <c r="B301" s="5">
        <v>327884005</v>
      </c>
      <c r="C301" s="5">
        <v>2</v>
      </c>
      <c r="D301" s="5" t="s">
        <v>26</v>
      </c>
      <c r="E301" s="5">
        <v>1</v>
      </c>
      <c r="F301" s="5" t="s">
        <v>109</v>
      </c>
      <c r="G301" s="5">
        <v>67.599999999999994</v>
      </c>
      <c r="H301" s="5">
        <f t="shared" si="8"/>
        <v>4.2136079830489184</v>
      </c>
      <c r="I301" s="5"/>
      <c r="J301" s="5">
        <v>5</v>
      </c>
      <c r="K301" s="5">
        <v>9</v>
      </c>
      <c r="L301" s="6">
        <f t="shared" si="9"/>
        <v>0.55555555555555558</v>
      </c>
      <c r="M301" s="5" t="s">
        <v>28</v>
      </c>
      <c r="N301" s="5"/>
      <c r="O301" s="5">
        <v>0</v>
      </c>
      <c r="P301" s="5">
        <v>71493133.5</v>
      </c>
      <c r="Q301" s="7" t="s">
        <v>750</v>
      </c>
      <c r="R301" s="5" t="s">
        <v>37</v>
      </c>
      <c r="S301" s="5">
        <v>3</v>
      </c>
      <c r="T301" s="5">
        <v>1</v>
      </c>
      <c r="U301" s="5"/>
      <c r="V301" s="5"/>
      <c r="W301" s="5"/>
      <c r="X301" s="5">
        <v>1</v>
      </c>
      <c r="Y301" s="5" t="s">
        <v>751</v>
      </c>
      <c r="AA301" s="8">
        <v>46312</v>
      </c>
    </row>
    <row r="302" spans="1:27" ht="409.5" customHeight="1" x14ac:dyDescent="0.2">
      <c r="A302" s="5">
        <v>301</v>
      </c>
      <c r="B302" s="5">
        <v>334681165</v>
      </c>
      <c r="C302" s="5">
        <v>2</v>
      </c>
      <c r="D302" s="5" t="s">
        <v>54</v>
      </c>
      <c r="E302" s="5">
        <v>7</v>
      </c>
      <c r="F302" s="5" t="s">
        <v>752</v>
      </c>
      <c r="G302" s="5">
        <v>175</v>
      </c>
      <c r="H302" s="5">
        <f t="shared" si="8"/>
        <v>5.1647859739235145</v>
      </c>
      <c r="I302" s="5"/>
      <c r="J302" s="5">
        <v>2</v>
      </c>
      <c r="K302" s="5">
        <v>6</v>
      </c>
      <c r="L302" s="6">
        <f t="shared" si="9"/>
        <v>0.33333333333333331</v>
      </c>
      <c r="M302" s="5"/>
      <c r="N302" s="5"/>
      <c r="O302" s="5">
        <v>0</v>
      </c>
      <c r="P302" s="5">
        <v>412000000</v>
      </c>
      <c r="Q302" s="7" t="s">
        <v>753</v>
      </c>
      <c r="R302" s="5"/>
      <c r="S302" s="5"/>
      <c r="T302" s="5"/>
      <c r="U302" s="5"/>
      <c r="V302" s="5"/>
      <c r="W302" s="5"/>
      <c r="X302" s="5">
        <v>1</v>
      </c>
      <c r="Y302" s="5" t="s">
        <v>754</v>
      </c>
      <c r="AA302" s="8">
        <v>46312</v>
      </c>
    </row>
    <row r="303" spans="1:27" ht="409.5" customHeight="1" x14ac:dyDescent="0.2">
      <c r="A303" s="5">
        <v>302</v>
      </c>
      <c r="B303" s="5">
        <v>333305644</v>
      </c>
      <c r="C303" s="5">
        <v>1</v>
      </c>
      <c r="D303" s="5" t="s">
        <v>54</v>
      </c>
      <c r="E303" s="5">
        <v>10</v>
      </c>
      <c r="F303" s="5" t="s">
        <v>457</v>
      </c>
      <c r="G303" s="5">
        <v>38.299999999999997</v>
      </c>
      <c r="H303" s="5">
        <f t="shared" si="8"/>
        <v>3.6454498961866002</v>
      </c>
      <c r="I303" s="5">
        <v>18</v>
      </c>
      <c r="J303" s="5">
        <v>1</v>
      </c>
      <c r="K303" s="5">
        <v>7</v>
      </c>
      <c r="L303" s="6">
        <f t="shared" si="9"/>
        <v>0.14285714285714285</v>
      </c>
      <c r="M303" s="5" t="s">
        <v>28</v>
      </c>
      <c r="N303" s="5" t="s">
        <v>61</v>
      </c>
      <c r="O303" s="5">
        <v>1</v>
      </c>
      <c r="P303" s="5">
        <v>45000000</v>
      </c>
      <c r="Q303" s="7" t="s">
        <v>755</v>
      </c>
      <c r="R303" s="5" t="s">
        <v>30</v>
      </c>
      <c r="S303" s="5">
        <v>2</v>
      </c>
      <c r="T303" s="5">
        <v>1</v>
      </c>
      <c r="U303" s="5"/>
      <c r="V303" s="5"/>
      <c r="W303" s="5"/>
      <c r="X303" s="5">
        <v>1</v>
      </c>
      <c r="Y303" s="5" t="s">
        <v>756</v>
      </c>
      <c r="AA303" s="8">
        <v>46312</v>
      </c>
    </row>
    <row r="304" spans="1:27" ht="409.5" customHeight="1" x14ac:dyDescent="0.2">
      <c r="A304" s="5">
        <v>303</v>
      </c>
      <c r="B304" s="5">
        <v>294674312</v>
      </c>
      <c r="C304" s="5">
        <v>5</v>
      </c>
      <c r="D304" s="5" t="s">
        <v>26</v>
      </c>
      <c r="E304" s="5">
        <v>9</v>
      </c>
      <c r="F304" s="5" t="s">
        <v>90</v>
      </c>
      <c r="G304" s="5">
        <v>187.8</v>
      </c>
      <c r="H304" s="5">
        <f t="shared" si="8"/>
        <v>5.2353775667741624</v>
      </c>
      <c r="I304" s="5">
        <v>147.5</v>
      </c>
      <c r="J304" s="5">
        <v>4</v>
      </c>
      <c r="K304" s="5">
        <v>8</v>
      </c>
      <c r="L304" s="6">
        <f t="shared" si="9"/>
        <v>0.5</v>
      </c>
      <c r="M304" s="5" t="s">
        <v>57</v>
      </c>
      <c r="N304" s="5" t="s">
        <v>35</v>
      </c>
      <c r="O304" s="5">
        <v>2</v>
      </c>
      <c r="P304" s="5">
        <v>278000000</v>
      </c>
      <c r="Q304" s="7" t="s">
        <v>757</v>
      </c>
      <c r="R304" s="5" t="s">
        <v>37</v>
      </c>
      <c r="S304" s="5">
        <v>3</v>
      </c>
      <c r="T304" s="5">
        <v>3</v>
      </c>
      <c r="U304" s="5">
        <v>3.4</v>
      </c>
      <c r="V304" s="5" t="s">
        <v>38</v>
      </c>
      <c r="W304" s="5">
        <v>1</v>
      </c>
      <c r="X304" s="5">
        <v>1</v>
      </c>
      <c r="Y304" s="5" t="s">
        <v>758</v>
      </c>
      <c r="AA304" s="8">
        <v>46312</v>
      </c>
    </row>
    <row r="305" spans="1:27" ht="409.5" customHeight="1" x14ac:dyDescent="0.2">
      <c r="A305" s="5">
        <v>304</v>
      </c>
      <c r="B305" s="5">
        <v>334229068</v>
      </c>
      <c r="C305" s="5">
        <v>4</v>
      </c>
      <c r="D305" s="5" t="s">
        <v>54</v>
      </c>
      <c r="E305" s="5">
        <v>7</v>
      </c>
      <c r="F305" s="5" t="s">
        <v>322</v>
      </c>
      <c r="G305" s="5">
        <v>87</v>
      </c>
      <c r="H305" s="5">
        <f t="shared" si="8"/>
        <v>4.4659081186545837</v>
      </c>
      <c r="I305" s="5">
        <v>60</v>
      </c>
      <c r="J305" s="5">
        <v>2</v>
      </c>
      <c r="K305" s="5">
        <v>4</v>
      </c>
      <c r="L305" s="6">
        <f t="shared" si="9"/>
        <v>0.5</v>
      </c>
      <c r="M305" s="5" t="s">
        <v>28</v>
      </c>
      <c r="N305" s="5"/>
      <c r="O305" s="5">
        <v>0</v>
      </c>
      <c r="P305" s="5">
        <v>64000000</v>
      </c>
      <c r="Q305" s="7" t="s">
        <v>759</v>
      </c>
      <c r="R305" s="5" t="s">
        <v>41</v>
      </c>
      <c r="S305" s="5">
        <v>0</v>
      </c>
      <c r="T305" s="5">
        <v>1</v>
      </c>
      <c r="U305" s="5">
        <v>3.2</v>
      </c>
      <c r="V305" s="5" t="s">
        <v>38</v>
      </c>
      <c r="W305" s="5">
        <v>1</v>
      </c>
      <c r="X305" s="5">
        <v>1</v>
      </c>
      <c r="Y305" s="5" t="s">
        <v>760</v>
      </c>
      <c r="AA305" s="8">
        <v>46312</v>
      </c>
    </row>
    <row r="306" spans="1:27" ht="409.5" customHeight="1" x14ac:dyDescent="0.2">
      <c r="A306" s="5">
        <v>305</v>
      </c>
      <c r="B306" s="5">
        <v>334715820</v>
      </c>
      <c r="C306" s="5">
        <v>3</v>
      </c>
      <c r="D306" s="5" t="s">
        <v>26</v>
      </c>
      <c r="E306" s="5">
        <v>9</v>
      </c>
      <c r="F306" s="5" t="s">
        <v>210</v>
      </c>
      <c r="G306" s="5">
        <v>100</v>
      </c>
      <c r="H306" s="5">
        <f t="shared" si="8"/>
        <v>4.6051701859880918</v>
      </c>
      <c r="I306" s="5">
        <v>69.2</v>
      </c>
      <c r="J306" s="5">
        <v>2</v>
      </c>
      <c r="K306" s="5">
        <v>6</v>
      </c>
      <c r="L306" s="6">
        <f t="shared" si="9"/>
        <v>0.33333333333333331</v>
      </c>
      <c r="M306" s="5" t="s">
        <v>28</v>
      </c>
      <c r="N306" s="5" t="s">
        <v>61</v>
      </c>
      <c r="O306" s="5">
        <v>1</v>
      </c>
      <c r="P306" s="5">
        <v>75000000</v>
      </c>
      <c r="Q306" s="7" t="s">
        <v>761</v>
      </c>
      <c r="R306" s="5" t="s">
        <v>30</v>
      </c>
      <c r="S306" s="5">
        <v>2</v>
      </c>
      <c r="T306" s="5">
        <v>1</v>
      </c>
      <c r="U306" s="5"/>
      <c r="V306" s="5"/>
      <c r="W306" s="5"/>
      <c r="X306" s="5">
        <v>1</v>
      </c>
      <c r="Y306" s="5" t="s">
        <v>762</v>
      </c>
      <c r="AA306" s="8">
        <v>46312</v>
      </c>
    </row>
    <row r="307" spans="1:27" ht="409.5" customHeight="1" x14ac:dyDescent="0.2">
      <c r="A307" s="5">
        <v>306</v>
      </c>
      <c r="B307" s="5">
        <v>334376832</v>
      </c>
      <c r="C307" s="5">
        <v>3</v>
      </c>
      <c r="D307" s="5" t="s">
        <v>33</v>
      </c>
      <c r="E307" s="5">
        <v>11</v>
      </c>
      <c r="F307" s="5" t="s">
        <v>93</v>
      </c>
      <c r="G307" s="5">
        <v>60.3</v>
      </c>
      <c r="H307" s="5">
        <f t="shared" si="8"/>
        <v>4.0993321037331398</v>
      </c>
      <c r="I307" s="5">
        <v>40.700000000000003</v>
      </c>
      <c r="J307" s="5">
        <v>6</v>
      </c>
      <c r="K307" s="5">
        <v>7</v>
      </c>
      <c r="L307" s="6">
        <f t="shared" si="9"/>
        <v>0.8571428571428571</v>
      </c>
      <c r="M307" s="5" t="s">
        <v>28</v>
      </c>
      <c r="N307" s="5" t="s">
        <v>61</v>
      </c>
      <c r="O307" s="5">
        <v>1</v>
      </c>
      <c r="P307" s="5">
        <v>50000000</v>
      </c>
      <c r="Q307" s="7" t="s">
        <v>763</v>
      </c>
      <c r="R307" s="5" t="s">
        <v>107</v>
      </c>
      <c r="S307" s="5">
        <v>1</v>
      </c>
      <c r="T307" s="5">
        <v>1</v>
      </c>
      <c r="U307" s="5">
        <v>3.1</v>
      </c>
      <c r="V307" s="5" t="s">
        <v>38</v>
      </c>
      <c r="W307" s="5">
        <v>1</v>
      </c>
      <c r="X307" s="5">
        <v>1</v>
      </c>
      <c r="Y307" s="5" t="s">
        <v>764</v>
      </c>
      <c r="AA307" s="8">
        <v>46312</v>
      </c>
    </row>
    <row r="308" spans="1:27" ht="409.5" customHeight="1" x14ac:dyDescent="0.2">
      <c r="A308" s="5">
        <v>307</v>
      </c>
      <c r="B308" s="5">
        <v>331946429</v>
      </c>
      <c r="C308" s="5">
        <v>6</v>
      </c>
      <c r="D308" s="5" t="s">
        <v>54</v>
      </c>
      <c r="E308" s="5">
        <v>9</v>
      </c>
      <c r="F308" s="5" t="s">
        <v>90</v>
      </c>
      <c r="G308" s="5">
        <v>307</v>
      </c>
      <c r="H308" s="5">
        <f t="shared" si="8"/>
        <v>5.7268477475871968</v>
      </c>
      <c r="I308" s="5"/>
      <c r="J308" s="5">
        <v>7</v>
      </c>
      <c r="K308" s="5">
        <v>8</v>
      </c>
      <c r="L308" s="6">
        <f t="shared" si="9"/>
        <v>0.875</v>
      </c>
      <c r="M308" s="5"/>
      <c r="N308" s="5" t="s">
        <v>35</v>
      </c>
      <c r="O308" s="5">
        <v>2</v>
      </c>
      <c r="P308" s="5">
        <v>549000000</v>
      </c>
      <c r="Q308" s="7" t="s">
        <v>765</v>
      </c>
      <c r="R308" s="5" t="s">
        <v>41</v>
      </c>
      <c r="S308" s="5">
        <v>0</v>
      </c>
      <c r="T308" s="5">
        <v>1</v>
      </c>
      <c r="U308" s="5"/>
      <c r="V308" s="5"/>
      <c r="W308" s="5"/>
      <c r="X308" s="5">
        <v>1</v>
      </c>
      <c r="Y308" s="5" t="s">
        <v>766</v>
      </c>
      <c r="AA308" s="8">
        <v>46312</v>
      </c>
    </row>
    <row r="309" spans="1:27" ht="409.5" customHeight="1" x14ac:dyDescent="0.2">
      <c r="A309" s="5">
        <v>308</v>
      </c>
      <c r="B309" s="5">
        <v>329528087</v>
      </c>
      <c r="C309" s="5">
        <v>3</v>
      </c>
      <c r="D309" s="5" t="s">
        <v>64</v>
      </c>
      <c r="E309" s="5">
        <v>2</v>
      </c>
      <c r="F309" s="5" t="s">
        <v>65</v>
      </c>
      <c r="G309" s="5">
        <v>80</v>
      </c>
      <c r="H309" s="5">
        <f t="shared" si="8"/>
        <v>4.3820266346738812</v>
      </c>
      <c r="I309" s="5">
        <v>49.9</v>
      </c>
      <c r="J309" s="5">
        <v>7</v>
      </c>
      <c r="K309" s="5">
        <v>7</v>
      </c>
      <c r="L309" s="6">
        <f t="shared" si="9"/>
        <v>1</v>
      </c>
      <c r="M309" s="5" t="s">
        <v>28</v>
      </c>
      <c r="N309" s="5"/>
      <c r="O309" s="5">
        <v>0</v>
      </c>
      <c r="P309" s="5">
        <v>63700000</v>
      </c>
      <c r="Q309" s="7" t="s">
        <v>767</v>
      </c>
      <c r="R309" s="5" t="s">
        <v>30</v>
      </c>
      <c r="S309" s="5">
        <v>2</v>
      </c>
      <c r="T309" s="5">
        <v>2</v>
      </c>
      <c r="U309" s="5">
        <v>3.2</v>
      </c>
      <c r="V309" s="5" t="s">
        <v>38</v>
      </c>
      <c r="W309" s="5">
        <v>1</v>
      </c>
      <c r="X309" s="5">
        <v>1</v>
      </c>
      <c r="Y309" s="5" t="s">
        <v>768</v>
      </c>
      <c r="AA309" s="8">
        <v>46312</v>
      </c>
    </row>
    <row r="310" spans="1:27" ht="409.5" customHeight="1" x14ac:dyDescent="0.2">
      <c r="A310" s="5">
        <v>309</v>
      </c>
      <c r="B310" s="5">
        <v>331511140</v>
      </c>
      <c r="C310" s="5">
        <v>3</v>
      </c>
      <c r="D310" s="5" t="s">
        <v>64</v>
      </c>
      <c r="E310" s="5">
        <v>7</v>
      </c>
      <c r="F310" s="5" t="s">
        <v>96</v>
      </c>
      <c r="G310" s="5">
        <v>112</v>
      </c>
      <c r="H310" s="5">
        <f t="shared" si="8"/>
        <v>4.7184988712950942</v>
      </c>
      <c r="I310" s="5"/>
      <c r="J310" s="5">
        <v>4</v>
      </c>
      <c r="K310" s="5">
        <v>6</v>
      </c>
      <c r="L310" s="6">
        <f t="shared" si="9"/>
        <v>0.66666666666666663</v>
      </c>
      <c r="M310" s="5" t="s">
        <v>28</v>
      </c>
      <c r="N310" s="5" t="s">
        <v>61</v>
      </c>
      <c r="O310" s="5">
        <v>1</v>
      </c>
      <c r="P310" s="5">
        <v>170000000</v>
      </c>
      <c r="Q310" s="7" t="s">
        <v>769</v>
      </c>
      <c r="R310" s="5" t="s">
        <v>37</v>
      </c>
      <c r="S310" s="5">
        <v>3</v>
      </c>
      <c r="T310" s="5">
        <v>2</v>
      </c>
      <c r="U310" s="5">
        <v>3.5</v>
      </c>
      <c r="V310" s="5" t="s">
        <v>38</v>
      </c>
      <c r="W310" s="5">
        <v>1</v>
      </c>
      <c r="X310" s="5">
        <v>1</v>
      </c>
      <c r="Y310" s="5" t="s">
        <v>770</v>
      </c>
      <c r="AA310" s="8">
        <v>46312</v>
      </c>
    </row>
    <row r="311" spans="1:27" ht="409.5" customHeight="1" x14ac:dyDescent="0.2">
      <c r="A311" s="5">
        <v>310</v>
      </c>
      <c r="B311" s="5">
        <v>333064662</v>
      </c>
      <c r="C311" s="5">
        <v>2</v>
      </c>
      <c r="D311" s="5" t="s">
        <v>33</v>
      </c>
      <c r="E311" s="5">
        <v>10</v>
      </c>
      <c r="F311" s="5" t="s">
        <v>241</v>
      </c>
      <c r="G311" s="5">
        <v>36</v>
      </c>
      <c r="H311" s="5">
        <f t="shared" si="8"/>
        <v>3.5835189384561099</v>
      </c>
      <c r="I311" s="5">
        <v>22</v>
      </c>
      <c r="J311" s="5">
        <v>1</v>
      </c>
      <c r="K311" s="5">
        <v>9</v>
      </c>
      <c r="L311" s="6">
        <f t="shared" si="9"/>
        <v>0.1111111111111111</v>
      </c>
      <c r="M311" s="5" t="s">
        <v>28</v>
      </c>
      <c r="N311" s="5"/>
      <c r="O311" s="5">
        <v>0</v>
      </c>
      <c r="P311" s="5">
        <v>29990000</v>
      </c>
      <c r="Q311" s="7" t="s">
        <v>771</v>
      </c>
      <c r="R311" s="5" t="s">
        <v>37</v>
      </c>
      <c r="S311" s="5">
        <v>3</v>
      </c>
      <c r="T311" s="5">
        <v>1</v>
      </c>
      <c r="U311" s="5">
        <v>2.6</v>
      </c>
      <c r="V311" s="5" t="s">
        <v>52</v>
      </c>
      <c r="W311" s="5">
        <v>0</v>
      </c>
      <c r="X311" s="5">
        <v>1</v>
      </c>
      <c r="Y311" s="5" t="s">
        <v>772</v>
      </c>
      <c r="AA311" s="8">
        <v>46312</v>
      </c>
    </row>
    <row r="312" spans="1:27" ht="409.5" customHeight="1" x14ac:dyDescent="0.2">
      <c r="A312" s="5">
        <v>311</v>
      </c>
      <c r="B312" s="5">
        <v>334516244</v>
      </c>
      <c r="C312" s="5">
        <v>2</v>
      </c>
      <c r="D312" s="5" t="s">
        <v>54</v>
      </c>
      <c r="E312" s="5">
        <v>7</v>
      </c>
      <c r="F312" s="5" t="s">
        <v>186</v>
      </c>
      <c r="G312" s="5">
        <v>55</v>
      </c>
      <c r="H312" s="5">
        <f t="shared" si="8"/>
        <v>4.0073331852324712</v>
      </c>
      <c r="I312" s="5">
        <v>32</v>
      </c>
      <c r="J312" s="5">
        <v>2</v>
      </c>
      <c r="K312" s="5">
        <v>4</v>
      </c>
      <c r="L312" s="6">
        <f t="shared" si="9"/>
        <v>0.5</v>
      </c>
      <c r="M312" s="5" t="s">
        <v>28</v>
      </c>
      <c r="N312" s="5" t="s">
        <v>61</v>
      </c>
      <c r="O312" s="5">
        <v>1</v>
      </c>
      <c r="P312" s="5">
        <v>70000000</v>
      </c>
      <c r="Q312" s="7" t="s">
        <v>773</v>
      </c>
      <c r="R312" s="5" t="s">
        <v>37</v>
      </c>
      <c r="S312" s="5">
        <v>3</v>
      </c>
      <c r="T312" s="5">
        <v>1</v>
      </c>
      <c r="U312" s="5">
        <v>3.3</v>
      </c>
      <c r="V312" s="5" t="s">
        <v>38</v>
      </c>
      <c r="W312" s="5">
        <v>1</v>
      </c>
      <c r="X312" s="5">
        <v>1</v>
      </c>
      <c r="Y312" s="5" t="s">
        <v>774</v>
      </c>
      <c r="AA312" s="8">
        <v>46312</v>
      </c>
    </row>
    <row r="313" spans="1:27" ht="409.5" customHeight="1" x14ac:dyDescent="0.2">
      <c r="A313" s="5">
        <v>312</v>
      </c>
      <c r="B313" s="5">
        <v>332589940</v>
      </c>
      <c r="C313" s="5">
        <v>1</v>
      </c>
      <c r="D313" s="5" t="s">
        <v>33</v>
      </c>
      <c r="E313" s="5">
        <v>10</v>
      </c>
      <c r="F313" s="5" t="s">
        <v>241</v>
      </c>
      <c r="G313" s="5">
        <v>31.3</v>
      </c>
      <c r="H313" s="5">
        <f t="shared" si="8"/>
        <v>3.4436180975461075</v>
      </c>
      <c r="I313" s="5">
        <v>21.3</v>
      </c>
      <c r="J313" s="5">
        <v>5</v>
      </c>
      <c r="K313" s="5">
        <v>9</v>
      </c>
      <c r="L313" s="6">
        <f t="shared" si="9"/>
        <v>0.55555555555555558</v>
      </c>
      <c r="M313" s="5" t="s">
        <v>28</v>
      </c>
      <c r="N313" s="5" t="s">
        <v>61</v>
      </c>
      <c r="O313" s="5">
        <v>1</v>
      </c>
      <c r="P313" s="5">
        <v>28000000</v>
      </c>
      <c r="Q313" s="7" t="s">
        <v>775</v>
      </c>
      <c r="R313" s="5" t="s">
        <v>107</v>
      </c>
      <c r="S313" s="5">
        <v>1</v>
      </c>
      <c r="T313" s="5">
        <v>1</v>
      </c>
      <c r="U313" s="5">
        <v>2.65</v>
      </c>
      <c r="V313" s="5" t="s">
        <v>52</v>
      </c>
      <c r="W313" s="5">
        <v>0</v>
      </c>
      <c r="X313" s="5">
        <v>1</v>
      </c>
      <c r="Y313" s="5" t="s">
        <v>776</v>
      </c>
      <c r="AA313" s="8">
        <v>46312</v>
      </c>
    </row>
    <row r="314" spans="1:27" ht="409.5" customHeight="1" x14ac:dyDescent="0.2">
      <c r="A314" s="5">
        <v>313</v>
      </c>
      <c r="B314" s="5">
        <v>322468426</v>
      </c>
      <c r="C314" s="5">
        <v>4</v>
      </c>
      <c r="D314" s="5" t="s">
        <v>26</v>
      </c>
      <c r="E314" s="5">
        <v>6</v>
      </c>
      <c r="F314" s="5" t="s">
        <v>553</v>
      </c>
      <c r="G314" s="5">
        <v>125.8</v>
      </c>
      <c r="H314" s="5">
        <f t="shared" si="8"/>
        <v>4.8346933442663405</v>
      </c>
      <c r="I314" s="5">
        <v>80</v>
      </c>
      <c r="J314" s="5">
        <v>2</v>
      </c>
      <c r="K314" s="5">
        <v>8</v>
      </c>
      <c r="L314" s="6">
        <f t="shared" si="9"/>
        <v>0.25</v>
      </c>
      <c r="M314" s="5" t="s">
        <v>44</v>
      </c>
      <c r="N314" s="5" t="s">
        <v>35</v>
      </c>
      <c r="O314" s="5">
        <v>2</v>
      </c>
      <c r="P314" s="5">
        <v>213860000</v>
      </c>
      <c r="Q314" s="7" t="s">
        <v>777</v>
      </c>
      <c r="R314" s="5" t="s">
        <v>37</v>
      </c>
      <c r="S314" s="5">
        <v>3</v>
      </c>
      <c r="T314" s="5">
        <v>3</v>
      </c>
      <c r="U314" s="5"/>
      <c r="V314" s="5"/>
      <c r="W314" s="5"/>
      <c r="X314" s="5">
        <v>1</v>
      </c>
      <c r="Y314" s="5" t="s">
        <v>778</v>
      </c>
      <c r="AA314" s="8">
        <v>46312</v>
      </c>
    </row>
    <row r="315" spans="1:27" ht="409.5" customHeight="1" x14ac:dyDescent="0.2">
      <c r="A315" s="5">
        <v>314</v>
      </c>
      <c r="B315" s="5">
        <v>332186579</v>
      </c>
      <c r="C315" s="5">
        <v>3</v>
      </c>
      <c r="D315" s="5" t="s">
        <v>549</v>
      </c>
      <c r="E315" s="5">
        <v>10</v>
      </c>
      <c r="F315" s="5" t="s">
        <v>309</v>
      </c>
      <c r="G315" s="5">
        <v>90.2</v>
      </c>
      <c r="H315" s="5">
        <f t="shared" si="8"/>
        <v>4.5020294270685781</v>
      </c>
      <c r="I315" s="5">
        <v>52.3</v>
      </c>
      <c r="J315" s="5">
        <v>4</v>
      </c>
      <c r="K315" s="5">
        <v>5</v>
      </c>
      <c r="L315" s="6">
        <f t="shared" si="9"/>
        <v>0.8</v>
      </c>
      <c r="M315" s="5" t="s">
        <v>28</v>
      </c>
      <c r="N315" s="5" t="s">
        <v>67</v>
      </c>
      <c r="O315" s="5">
        <v>1</v>
      </c>
      <c r="P315" s="5">
        <v>98000000</v>
      </c>
      <c r="Q315" s="7" t="s">
        <v>779</v>
      </c>
      <c r="R315" s="5"/>
      <c r="S315" s="5"/>
      <c r="T315" s="5">
        <v>1</v>
      </c>
      <c r="U315" s="5">
        <v>3.4</v>
      </c>
      <c r="V315" s="5" t="s">
        <v>38</v>
      </c>
      <c r="W315" s="5">
        <v>1</v>
      </c>
      <c r="X315" s="5">
        <v>1</v>
      </c>
      <c r="Y315" s="5" t="s">
        <v>780</v>
      </c>
      <c r="AA315" s="8">
        <v>46312</v>
      </c>
    </row>
    <row r="316" spans="1:27" ht="409.5" customHeight="1" x14ac:dyDescent="0.2">
      <c r="A316" s="5">
        <v>315</v>
      </c>
      <c r="B316" s="5">
        <v>332263786</v>
      </c>
      <c r="C316" s="5">
        <v>3</v>
      </c>
      <c r="D316" s="5" t="s">
        <v>64</v>
      </c>
      <c r="E316" s="5">
        <v>8</v>
      </c>
      <c r="F316" s="5" t="s">
        <v>781</v>
      </c>
      <c r="G316" s="5">
        <v>85</v>
      </c>
      <c r="H316" s="5">
        <f t="shared" si="8"/>
        <v>4.4426512564903167</v>
      </c>
      <c r="I316" s="5">
        <v>42.7</v>
      </c>
      <c r="J316" s="5">
        <v>2</v>
      </c>
      <c r="K316" s="5">
        <v>12</v>
      </c>
      <c r="L316" s="6">
        <f t="shared" si="9"/>
        <v>0.16666666666666666</v>
      </c>
      <c r="M316" s="5" t="s">
        <v>28</v>
      </c>
      <c r="N316" s="5"/>
      <c r="O316" s="5">
        <v>0</v>
      </c>
      <c r="P316" s="5">
        <v>75000000</v>
      </c>
      <c r="Q316" s="7" t="s">
        <v>782</v>
      </c>
      <c r="R316" s="5" t="s">
        <v>41</v>
      </c>
      <c r="S316" s="5">
        <v>0</v>
      </c>
      <c r="T316" s="5">
        <v>1</v>
      </c>
      <c r="U316" s="5">
        <v>2.7</v>
      </c>
      <c r="V316" s="5" t="s">
        <v>52</v>
      </c>
      <c r="W316" s="5">
        <v>0</v>
      </c>
      <c r="X316" s="5">
        <v>1</v>
      </c>
      <c r="Y316" s="5" t="s">
        <v>783</v>
      </c>
      <c r="AA316" s="8">
        <v>46312</v>
      </c>
    </row>
    <row r="317" spans="1:27" ht="409.5" customHeight="1" x14ac:dyDescent="0.2">
      <c r="A317" s="5">
        <v>316</v>
      </c>
      <c r="B317" s="5">
        <v>324468391</v>
      </c>
      <c r="C317" s="5">
        <v>6</v>
      </c>
      <c r="D317" s="5" t="s">
        <v>33</v>
      </c>
      <c r="E317" s="5">
        <v>9</v>
      </c>
      <c r="F317" s="5" t="s">
        <v>784</v>
      </c>
      <c r="G317" s="5">
        <v>499</v>
      </c>
      <c r="H317" s="5">
        <f t="shared" si="8"/>
        <v>6.2126060957515188</v>
      </c>
      <c r="I317" s="5"/>
      <c r="J317" s="5">
        <v>5</v>
      </c>
      <c r="K317" s="5">
        <v>5</v>
      </c>
      <c r="L317" s="6">
        <f t="shared" si="9"/>
        <v>1</v>
      </c>
      <c r="M317" s="5" t="s">
        <v>28</v>
      </c>
      <c r="N317" s="5" t="s">
        <v>35</v>
      </c>
      <c r="O317" s="5">
        <v>2</v>
      </c>
      <c r="P317" s="5">
        <v>1499000000</v>
      </c>
      <c r="Q317" s="7" t="s">
        <v>785</v>
      </c>
      <c r="R317" s="5" t="s">
        <v>37</v>
      </c>
      <c r="S317" s="5">
        <v>3</v>
      </c>
      <c r="T317" s="5">
        <v>7</v>
      </c>
      <c r="U317" s="5"/>
      <c r="V317" s="5"/>
      <c r="W317" s="5"/>
      <c r="X317" s="5">
        <v>1</v>
      </c>
      <c r="Y317" s="5" t="s">
        <v>786</v>
      </c>
      <c r="AA317" s="8">
        <v>46312</v>
      </c>
    </row>
    <row r="318" spans="1:27" ht="409.5" customHeight="1" x14ac:dyDescent="0.2">
      <c r="A318" s="5">
        <v>317</v>
      </c>
      <c r="B318" s="5">
        <v>319813441</v>
      </c>
      <c r="C318" s="5">
        <v>3</v>
      </c>
      <c r="D318" s="5" t="s">
        <v>54</v>
      </c>
      <c r="E318" s="5">
        <v>10</v>
      </c>
      <c r="F318" s="5" t="s">
        <v>238</v>
      </c>
      <c r="G318" s="5">
        <v>89.7</v>
      </c>
      <c r="H318" s="5">
        <f t="shared" si="8"/>
        <v>4.4964707690647501</v>
      </c>
      <c r="I318" s="5">
        <v>53.1</v>
      </c>
      <c r="J318" s="5">
        <v>5</v>
      </c>
      <c r="K318" s="5">
        <v>5</v>
      </c>
      <c r="L318" s="6">
        <f t="shared" si="9"/>
        <v>1</v>
      </c>
      <c r="M318" s="5" t="s">
        <v>28</v>
      </c>
      <c r="N318" s="5" t="s">
        <v>61</v>
      </c>
      <c r="O318" s="5">
        <v>1</v>
      </c>
      <c r="P318" s="5">
        <v>65000000</v>
      </c>
      <c r="Q318" s="7" t="s">
        <v>787</v>
      </c>
      <c r="R318" s="5" t="s">
        <v>30</v>
      </c>
      <c r="S318" s="5">
        <v>2</v>
      </c>
      <c r="T318" s="5">
        <v>1</v>
      </c>
      <c r="U318" s="5">
        <v>3</v>
      </c>
      <c r="V318" s="5" t="s">
        <v>38</v>
      </c>
      <c r="W318" s="5">
        <v>1</v>
      </c>
      <c r="X318" s="5">
        <v>1</v>
      </c>
      <c r="Y318" s="5" t="s">
        <v>788</v>
      </c>
      <c r="AA318" s="8">
        <v>46312</v>
      </c>
    </row>
    <row r="319" spans="1:27" ht="409.5" customHeight="1" x14ac:dyDescent="0.2">
      <c r="A319" s="5">
        <v>318</v>
      </c>
      <c r="B319" s="5">
        <v>325223955</v>
      </c>
      <c r="C319" s="5">
        <v>3</v>
      </c>
      <c r="D319" s="5" t="s">
        <v>64</v>
      </c>
      <c r="E319" s="5">
        <v>7</v>
      </c>
      <c r="F319" s="5" t="s">
        <v>230</v>
      </c>
      <c r="G319" s="5">
        <v>85.4</v>
      </c>
      <c r="H319" s="5">
        <f t="shared" si="8"/>
        <v>4.4473461007945243</v>
      </c>
      <c r="I319" s="5">
        <v>59.1</v>
      </c>
      <c r="J319" s="5">
        <v>6</v>
      </c>
      <c r="K319" s="5">
        <v>6</v>
      </c>
      <c r="L319" s="6">
        <f t="shared" si="9"/>
        <v>1</v>
      </c>
      <c r="M319" s="5" t="s">
        <v>28</v>
      </c>
      <c r="N319" s="5" t="s">
        <v>61</v>
      </c>
      <c r="O319" s="5">
        <v>1</v>
      </c>
      <c r="P319" s="5">
        <v>67900000</v>
      </c>
      <c r="Q319" s="7" t="s">
        <v>789</v>
      </c>
      <c r="R319" s="5" t="s">
        <v>30</v>
      </c>
      <c r="S319" s="5">
        <v>2</v>
      </c>
      <c r="T319" s="5">
        <v>1</v>
      </c>
      <c r="U319" s="5">
        <v>3.9</v>
      </c>
      <c r="V319" s="5" t="s">
        <v>31</v>
      </c>
      <c r="W319" s="5">
        <v>2</v>
      </c>
      <c r="X319" s="5">
        <v>1</v>
      </c>
      <c r="Y319" s="5" t="s">
        <v>790</v>
      </c>
      <c r="AA319" s="8">
        <v>46312</v>
      </c>
    </row>
    <row r="320" spans="1:27" ht="409.5" customHeight="1" x14ac:dyDescent="0.2">
      <c r="A320" s="5">
        <v>319</v>
      </c>
      <c r="B320" s="5">
        <v>295103950</v>
      </c>
      <c r="C320" s="5">
        <v>2</v>
      </c>
      <c r="D320" s="5" t="s">
        <v>64</v>
      </c>
      <c r="E320" s="5">
        <v>7</v>
      </c>
      <c r="F320" s="5" t="s">
        <v>230</v>
      </c>
      <c r="G320" s="5">
        <v>55.3</v>
      </c>
      <c r="H320" s="5">
        <f t="shared" si="8"/>
        <v>4.0127729085282891</v>
      </c>
      <c r="I320" s="5">
        <v>30</v>
      </c>
      <c r="J320" s="5">
        <v>5</v>
      </c>
      <c r="K320" s="5">
        <v>6</v>
      </c>
      <c r="L320" s="6">
        <f t="shared" si="9"/>
        <v>0.83333333333333337</v>
      </c>
      <c r="M320" s="5" t="s">
        <v>28</v>
      </c>
      <c r="N320" s="5" t="s">
        <v>61</v>
      </c>
      <c r="O320" s="5">
        <v>1</v>
      </c>
      <c r="P320" s="5">
        <v>43000000</v>
      </c>
      <c r="Q320" s="7" t="s">
        <v>791</v>
      </c>
      <c r="R320" s="5" t="s">
        <v>30</v>
      </c>
      <c r="S320" s="5">
        <v>2</v>
      </c>
      <c r="T320" s="5">
        <v>1</v>
      </c>
      <c r="U320" s="5">
        <v>3.4</v>
      </c>
      <c r="V320" s="5" t="s">
        <v>38</v>
      </c>
      <c r="W320" s="5">
        <v>1</v>
      </c>
      <c r="X320" s="5">
        <v>1</v>
      </c>
      <c r="Y320" s="5" t="s">
        <v>792</v>
      </c>
      <c r="AA320" s="8">
        <v>46312</v>
      </c>
    </row>
    <row r="321" spans="1:27" ht="409.5" customHeight="1" x14ac:dyDescent="0.2">
      <c r="A321" s="5">
        <v>320</v>
      </c>
      <c r="B321" s="5">
        <v>334698613</v>
      </c>
      <c r="C321" s="5">
        <v>4</v>
      </c>
      <c r="D321" s="5" t="s">
        <v>26</v>
      </c>
      <c r="E321" s="5">
        <v>9</v>
      </c>
      <c r="F321" s="5" t="s">
        <v>128</v>
      </c>
      <c r="G321" s="5">
        <v>108</v>
      </c>
      <c r="H321" s="5">
        <f t="shared" si="8"/>
        <v>4.6821312271242199</v>
      </c>
      <c r="I321" s="5"/>
      <c r="J321" s="5">
        <v>3</v>
      </c>
      <c r="K321" s="5">
        <v>6</v>
      </c>
      <c r="L321" s="6">
        <f t="shared" si="9"/>
        <v>0.5</v>
      </c>
      <c r="M321" s="5" t="s">
        <v>28</v>
      </c>
      <c r="N321" s="5" t="s">
        <v>61</v>
      </c>
      <c r="O321" s="5">
        <v>1</v>
      </c>
      <c r="P321" s="5">
        <v>90000000</v>
      </c>
      <c r="Q321" s="7" t="s">
        <v>793</v>
      </c>
      <c r="R321" s="5" t="s">
        <v>37</v>
      </c>
      <c r="S321" s="5">
        <v>3</v>
      </c>
      <c r="T321" s="5">
        <v>2</v>
      </c>
      <c r="U321" s="5">
        <v>3</v>
      </c>
      <c r="V321" s="5" t="s">
        <v>38</v>
      </c>
      <c r="W321" s="5">
        <v>1</v>
      </c>
      <c r="X321" s="5">
        <v>1</v>
      </c>
      <c r="Y321" s="5" t="s">
        <v>794</v>
      </c>
      <c r="AA321" s="8">
        <v>46312</v>
      </c>
    </row>
    <row r="322" spans="1:27" ht="409.5" customHeight="1" x14ac:dyDescent="0.2">
      <c r="A322" s="5">
        <v>321</v>
      </c>
      <c r="B322" s="5">
        <v>335001157</v>
      </c>
      <c r="C322" s="5">
        <v>4</v>
      </c>
      <c r="D322" s="5" t="s">
        <v>26</v>
      </c>
      <c r="E322" s="5">
        <v>9</v>
      </c>
      <c r="F322" s="5" t="s">
        <v>649</v>
      </c>
      <c r="G322" s="5">
        <v>100</v>
      </c>
      <c r="H322" s="5">
        <f t="shared" ref="H322:H385" si="10">LN(G322)</f>
        <v>4.6051701859880918</v>
      </c>
      <c r="I322" s="5"/>
      <c r="J322" s="5">
        <v>4</v>
      </c>
      <c r="K322" s="5">
        <v>4</v>
      </c>
      <c r="L322" s="6">
        <f t="shared" ref="L322:L385" si="11">J322/K322</f>
        <v>1</v>
      </c>
      <c r="M322" s="5" t="s">
        <v>28</v>
      </c>
      <c r="N322" s="5" t="s">
        <v>61</v>
      </c>
      <c r="O322" s="5">
        <v>1</v>
      </c>
      <c r="P322" s="5">
        <v>110000000</v>
      </c>
      <c r="Q322" s="7" t="s">
        <v>795</v>
      </c>
      <c r="R322" s="5" t="s">
        <v>37</v>
      </c>
      <c r="S322" s="5">
        <v>3</v>
      </c>
      <c r="T322" s="5">
        <v>2</v>
      </c>
      <c r="U322" s="5">
        <v>3</v>
      </c>
      <c r="V322" s="5" t="s">
        <v>38</v>
      </c>
      <c r="W322" s="5">
        <v>1</v>
      </c>
      <c r="X322" s="5">
        <v>1</v>
      </c>
      <c r="Y322" s="5" t="s">
        <v>796</v>
      </c>
      <c r="AA322" s="8">
        <v>46312</v>
      </c>
    </row>
    <row r="323" spans="1:27" ht="409.5" customHeight="1" x14ac:dyDescent="0.2">
      <c r="A323" s="5">
        <v>322</v>
      </c>
      <c r="B323" s="5">
        <v>334974128</v>
      </c>
      <c r="C323" s="5">
        <v>2</v>
      </c>
      <c r="D323" s="5" t="s">
        <v>26</v>
      </c>
      <c r="E323" s="5">
        <v>5</v>
      </c>
      <c r="F323" s="5" t="s">
        <v>593</v>
      </c>
      <c r="G323" s="5">
        <v>59.8</v>
      </c>
      <c r="H323" s="5">
        <f t="shared" si="10"/>
        <v>4.0910056609565864</v>
      </c>
      <c r="I323" s="5">
        <v>37.5</v>
      </c>
      <c r="J323" s="5">
        <v>3</v>
      </c>
      <c r="K323" s="5">
        <v>7</v>
      </c>
      <c r="L323" s="6">
        <f t="shared" si="11"/>
        <v>0.42857142857142855</v>
      </c>
      <c r="M323" s="5" t="s">
        <v>28</v>
      </c>
      <c r="N323" s="5" t="s">
        <v>61</v>
      </c>
      <c r="O323" s="5">
        <v>1</v>
      </c>
      <c r="P323" s="5">
        <v>52900000</v>
      </c>
      <c r="Q323" s="7" t="s">
        <v>797</v>
      </c>
      <c r="R323" s="5" t="s">
        <v>37</v>
      </c>
      <c r="S323" s="5">
        <v>3</v>
      </c>
      <c r="T323" s="5">
        <v>2</v>
      </c>
      <c r="U323" s="5">
        <v>3.2</v>
      </c>
      <c r="V323" s="5" t="s">
        <v>38</v>
      </c>
      <c r="W323" s="5">
        <v>1</v>
      </c>
      <c r="X323" s="5">
        <v>1</v>
      </c>
      <c r="Y323" s="5" t="s">
        <v>798</v>
      </c>
      <c r="AA323" s="8">
        <v>46312</v>
      </c>
    </row>
    <row r="324" spans="1:27" ht="409.5" customHeight="1" x14ac:dyDescent="0.2">
      <c r="A324" s="5">
        <v>323</v>
      </c>
      <c r="B324" s="5">
        <v>333655156</v>
      </c>
      <c r="C324" s="5">
        <v>3</v>
      </c>
      <c r="D324" s="5" t="s">
        <v>64</v>
      </c>
      <c r="E324" s="5">
        <v>8</v>
      </c>
      <c r="F324" s="5" t="s">
        <v>696</v>
      </c>
      <c r="G324" s="5">
        <v>86</v>
      </c>
      <c r="H324" s="5">
        <f t="shared" si="10"/>
        <v>4.4543472962535073</v>
      </c>
      <c r="I324" s="5">
        <v>67</v>
      </c>
      <c r="J324" s="5">
        <v>3</v>
      </c>
      <c r="K324" s="5">
        <v>5</v>
      </c>
      <c r="L324" s="6">
        <f t="shared" si="11"/>
        <v>0.6</v>
      </c>
      <c r="M324" s="5" t="s">
        <v>28</v>
      </c>
      <c r="N324" s="5"/>
      <c r="O324" s="5">
        <v>0</v>
      </c>
      <c r="P324" s="5">
        <v>75000000</v>
      </c>
      <c r="Q324" s="7" t="s">
        <v>799</v>
      </c>
      <c r="R324" s="5"/>
      <c r="S324" s="5"/>
      <c r="T324" s="5">
        <v>2</v>
      </c>
      <c r="U324" s="5">
        <v>3.1</v>
      </c>
      <c r="V324" s="5" t="s">
        <v>38</v>
      </c>
      <c r="W324" s="5">
        <v>1</v>
      </c>
      <c r="X324" s="5">
        <v>1</v>
      </c>
      <c r="Y324" s="5" t="s">
        <v>800</v>
      </c>
      <c r="AA324" s="8">
        <v>46312</v>
      </c>
    </row>
    <row r="325" spans="1:27" ht="409.5" customHeight="1" x14ac:dyDescent="0.2">
      <c r="A325" s="5">
        <v>324</v>
      </c>
      <c r="B325" s="5">
        <v>331652410</v>
      </c>
      <c r="C325" s="5">
        <v>4</v>
      </c>
      <c r="D325" s="5" t="s">
        <v>33</v>
      </c>
      <c r="E325" s="5">
        <v>11</v>
      </c>
      <c r="F325" s="5" t="s">
        <v>93</v>
      </c>
      <c r="G325" s="5">
        <v>100.9</v>
      </c>
      <c r="H325" s="5">
        <f t="shared" si="10"/>
        <v>4.6141299273595635</v>
      </c>
      <c r="I325" s="5">
        <v>62.5</v>
      </c>
      <c r="J325" s="5">
        <v>8</v>
      </c>
      <c r="K325" s="5">
        <v>9</v>
      </c>
      <c r="L325" s="6">
        <f t="shared" si="11"/>
        <v>0.88888888888888884</v>
      </c>
      <c r="M325" s="5" t="s">
        <v>28</v>
      </c>
      <c r="N325" s="5" t="s">
        <v>61</v>
      </c>
      <c r="O325" s="5">
        <v>1</v>
      </c>
      <c r="P325" s="5">
        <v>105000000</v>
      </c>
      <c r="Q325" s="7" t="s">
        <v>801</v>
      </c>
      <c r="R325" s="5" t="s">
        <v>41</v>
      </c>
      <c r="S325" s="5">
        <v>0</v>
      </c>
      <c r="T325" s="5">
        <v>1</v>
      </c>
      <c r="U325" s="5">
        <v>3</v>
      </c>
      <c r="V325" s="5" t="s">
        <v>38</v>
      </c>
      <c r="W325" s="5">
        <v>1</v>
      </c>
      <c r="X325" s="5">
        <v>1</v>
      </c>
      <c r="Y325" s="5" t="s">
        <v>802</v>
      </c>
      <c r="AA325" s="8">
        <v>46312</v>
      </c>
    </row>
    <row r="326" spans="1:27" ht="409.5" customHeight="1" x14ac:dyDescent="0.2">
      <c r="A326" s="5">
        <v>325</v>
      </c>
      <c r="B326" s="5">
        <v>322572339</v>
      </c>
      <c r="C326" s="5">
        <v>2</v>
      </c>
      <c r="D326" s="5" t="s">
        <v>64</v>
      </c>
      <c r="E326" s="5">
        <v>11</v>
      </c>
      <c r="F326" s="5" t="s">
        <v>803</v>
      </c>
      <c r="G326" s="5">
        <v>46.5</v>
      </c>
      <c r="H326" s="5">
        <f t="shared" si="10"/>
        <v>3.8394523125933104</v>
      </c>
      <c r="I326" s="5"/>
      <c r="J326" s="5">
        <v>3</v>
      </c>
      <c r="K326" s="5">
        <v>7</v>
      </c>
      <c r="L326" s="6">
        <f t="shared" si="11"/>
        <v>0.42857142857142855</v>
      </c>
      <c r="M326" s="5" t="s">
        <v>28</v>
      </c>
      <c r="N326" s="5" t="s">
        <v>61</v>
      </c>
      <c r="O326" s="5">
        <v>1</v>
      </c>
      <c r="P326" s="5">
        <v>40850000</v>
      </c>
      <c r="Q326" s="7" t="s">
        <v>804</v>
      </c>
      <c r="R326" s="5" t="s">
        <v>107</v>
      </c>
      <c r="S326" s="5">
        <v>1</v>
      </c>
      <c r="T326" s="5">
        <v>1</v>
      </c>
      <c r="U326" s="5">
        <v>3</v>
      </c>
      <c r="V326" s="5" t="s">
        <v>38</v>
      </c>
      <c r="W326" s="5">
        <v>1</v>
      </c>
      <c r="X326" s="5">
        <v>1</v>
      </c>
      <c r="Y326" s="5" t="s">
        <v>805</v>
      </c>
      <c r="AA326" s="8">
        <v>46312</v>
      </c>
    </row>
    <row r="327" spans="1:27" ht="409.5" customHeight="1" x14ac:dyDescent="0.2">
      <c r="A327" s="5">
        <v>326</v>
      </c>
      <c r="B327" s="5">
        <v>334345854</v>
      </c>
      <c r="C327" s="5">
        <v>4</v>
      </c>
      <c r="D327" s="5" t="s">
        <v>54</v>
      </c>
      <c r="E327" s="5">
        <v>7</v>
      </c>
      <c r="F327" s="5" t="s">
        <v>230</v>
      </c>
      <c r="G327" s="5">
        <v>88</v>
      </c>
      <c r="H327" s="5">
        <f t="shared" si="10"/>
        <v>4.4773368144782069</v>
      </c>
      <c r="I327" s="5">
        <v>56.2</v>
      </c>
      <c r="J327" s="5">
        <v>1</v>
      </c>
      <c r="K327" s="5">
        <v>6</v>
      </c>
      <c r="L327" s="6">
        <f t="shared" si="11"/>
        <v>0.16666666666666666</v>
      </c>
      <c r="M327" s="5" t="s">
        <v>28</v>
      </c>
      <c r="N327" s="5" t="s">
        <v>61</v>
      </c>
      <c r="O327" s="5">
        <v>1</v>
      </c>
      <c r="P327" s="5">
        <v>61000000</v>
      </c>
      <c r="Q327" s="7" t="s">
        <v>806</v>
      </c>
      <c r="R327" s="5" t="s">
        <v>107</v>
      </c>
      <c r="S327" s="5">
        <v>1</v>
      </c>
      <c r="T327" s="5">
        <v>1</v>
      </c>
      <c r="U327" s="5">
        <v>3.4</v>
      </c>
      <c r="V327" s="5" t="s">
        <v>38</v>
      </c>
      <c r="W327" s="5">
        <v>1</v>
      </c>
      <c r="X327" s="5">
        <v>1</v>
      </c>
      <c r="Y327" s="5" t="s">
        <v>807</v>
      </c>
      <c r="AA327" s="8">
        <v>46312</v>
      </c>
    </row>
    <row r="328" spans="1:27" ht="409.5" customHeight="1" x14ac:dyDescent="0.2">
      <c r="A328" s="5">
        <v>327</v>
      </c>
      <c r="B328" s="5">
        <v>335041549</v>
      </c>
      <c r="C328" s="5">
        <v>2</v>
      </c>
      <c r="D328" s="5" t="s">
        <v>64</v>
      </c>
      <c r="E328" s="5">
        <v>7</v>
      </c>
      <c r="F328" s="5" t="s">
        <v>808</v>
      </c>
      <c r="G328" s="5">
        <v>61</v>
      </c>
      <c r="H328" s="5">
        <f t="shared" si="10"/>
        <v>4.1108738641733114</v>
      </c>
      <c r="I328" s="5"/>
      <c r="J328" s="5">
        <v>3</v>
      </c>
      <c r="K328" s="5">
        <v>8</v>
      </c>
      <c r="L328" s="6">
        <f t="shared" si="11"/>
        <v>0.375</v>
      </c>
      <c r="M328" s="5" t="s">
        <v>28</v>
      </c>
      <c r="N328" s="5" t="s">
        <v>61</v>
      </c>
      <c r="O328" s="5">
        <v>1</v>
      </c>
      <c r="P328" s="5">
        <v>54500000</v>
      </c>
      <c r="Q328" s="7" t="s">
        <v>809</v>
      </c>
      <c r="R328" s="5" t="s">
        <v>107</v>
      </c>
      <c r="S328" s="5">
        <v>1</v>
      </c>
      <c r="T328" s="5">
        <v>1</v>
      </c>
      <c r="U328" s="5">
        <v>3</v>
      </c>
      <c r="V328" s="5" t="s">
        <v>38</v>
      </c>
      <c r="W328" s="5">
        <v>1</v>
      </c>
      <c r="X328" s="5">
        <v>1</v>
      </c>
      <c r="Y328" s="5" t="s">
        <v>810</v>
      </c>
      <c r="AA328" s="8">
        <v>46312</v>
      </c>
    </row>
    <row r="329" spans="1:27" ht="409.5" customHeight="1" x14ac:dyDescent="0.2">
      <c r="A329" s="5">
        <v>328</v>
      </c>
      <c r="B329" s="5">
        <v>333584529</v>
      </c>
      <c r="C329" s="5">
        <v>4</v>
      </c>
      <c r="D329" s="5" t="s">
        <v>54</v>
      </c>
      <c r="E329" s="5">
        <v>9</v>
      </c>
      <c r="F329" s="5" t="s">
        <v>290</v>
      </c>
      <c r="G329" s="5">
        <v>123.8</v>
      </c>
      <c r="H329" s="5">
        <f t="shared" si="10"/>
        <v>4.8186673602504957</v>
      </c>
      <c r="I329" s="5">
        <v>79.099999999999994</v>
      </c>
      <c r="J329" s="5">
        <v>2</v>
      </c>
      <c r="K329" s="5">
        <v>5</v>
      </c>
      <c r="L329" s="6">
        <f t="shared" si="11"/>
        <v>0.4</v>
      </c>
      <c r="M329" s="5" t="s">
        <v>28</v>
      </c>
      <c r="N329" s="5" t="s">
        <v>61</v>
      </c>
      <c r="O329" s="5">
        <v>1</v>
      </c>
      <c r="P329" s="5">
        <v>99500000</v>
      </c>
      <c r="Q329" s="7" t="s">
        <v>811</v>
      </c>
      <c r="R329" s="5" t="s">
        <v>30</v>
      </c>
      <c r="S329" s="5">
        <v>2</v>
      </c>
      <c r="T329" s="5">
        <v>3</v>
      </c>
      <c r="U329" s="5">
        <v>3.5</v>
      </c>
      <c r="V329" s="5" t="s">
        <v>38</v>
      </c>
      <c r="W329" s="5">
        <v>1</v>
      </c>
      <c r="X329" s="5">
        <v>1</v>
      </c>
      <c r="Y329" s="5" t="s">
        <v>812</v>
      </c>
      <c r="AA329" s="8">
        <v>46312</v>
      </c>
    </row>
    <row r="330" spans="1:27" ht="409.5" customHeight="1" x14ac:dyDescent="0.2">
      <c r="A330" s="5">
        <v>329</v>
      </c>
      <c r="B330" s="5">
        <v>333155538</v>
      </c>
      <c r="C330" s="5">
        <v>1</v>
      </c>
      <c r="D330" s="5" t="s">
        <v>64</v>
      </c>
      <c r="E330" s="5">
        <v>8</v>
      </c>
      <c r="F330" s="5" t="s">
        <v>181</v>
      </c>
      <c r="G330" s="5">
        <v>26</v>
      </c>
      <c r="H330" s="5">
        <f t="shared" si="10"/>
        <v>3.2580965380214821</v>
      </c>
      <c r="I330" s="5"/>
      <c r="J330" s="5">
        <v>4</v>
      </c>
      <c r="K330" s="5">
        <v>6</v>
      </c>
      <c r="L330" s="6">
        <f t="shared" si="11"/>
        <v>0.66666666666666663</v>
      </c>
      <c r="M330" s="5" t="s">
        <v>28</v>
      </c>
      <c r="N330" s="5" t="s">
        <v>61</v>
      </c>
      <c r="O330" s="5">
        <v>1</v>
      </c>
      <c r="P330" s="5">
        <v>22100000</v>
      </c>
      <c r="Q330" s="7" t="s">
        <v>813</v>
      </c>
      <c r="R330" s="5" t="s">
        <v>37</v>
      </c>
      <c r="S330" s="5">
        <v>3</v>
      </c>
      <c r="T330" s="5">
        <v>1</v>
      </c>
      <c r="U330" s="5">
        <v>3.8</v>
      </c>
      <c r="V330" s="5" t="s">
        <v>31</v>
      </c>
      <c r="W330" s="5">
        <v>2</v>
      </c>
      <c r="X330" s="5">
        <v>1</v>
      </c>
      <c r="Y330" s="5" t="s">
        <v>814</v>
      </c>
      <c r="AA330" s="8">
        <v>46312</v>
      </c>
    </row>
    <row r="331" spans="1:27" ht="409.5" customHeight="1" x14ac:dyDescent="0.2">
      <c r="A331" s="5">
        <v>330</v>
      </c>
      <c r="B331" s="5">
        <v>333155326</v>
      </c>
      <c r="C331" s="5">
        <v>1</v>
      </c>
      <c r="D331" s="5" t="s">
        <v>64</v>
      </c>
      <c r="E331" s="5">
        <v>8</v>
      </c>
      <c r="F331" s="5" t="s">
        <v>181</v>
      </c>
      <c r="G331" s="5">
        <v>18.600000000000001</v>
      </c>
      <c r="H331" s="5">
        <f t="shared" si="10"/>
        <v>2.9231615807191558</v>
      </c>
      <c r="I331" s="5"/>
      <c r="J331" s="5">
        <v>4</v>
      </c>
      <c r="K331" s="5">
        <v>6</v>
      </c>
      <c r="L331" s="6">
        <f t="shared" si="11"/>
        <v>0.66666666666666663</v>
      </c>
      <c r="M331" s="5" t="s">
        <v>28</v>
      </c>
      <c r="N331" s="5" t="s">
        <v>61</v>
      </c>
      <c r="O331" s="5">
        <v>1</v>
      </c>
      <c r="P331" s="5">
        <v>15810000</v>
      </c>
      <c r="Q331" s="7" t="s">
        <v>815</v>
      </c>
      <c r="R331" s="5" t="s">
        <v>37</v>
      </c>
      <c r="S331" s="5">
        <v>3</v>
      </c>
      <c r="T331" s="5">
        <v>1</v>
      </c>
      <c r="U331" s="5">
        <v>3.8</v>
      </c>
      <c r="V331" s="5" t="s">
        <v>31</v>
      </c>
      <c r="W331" s="5">
        <v>2</v>
      </c>
      <c r="X331" s="5">
        <v>1</v>
      </c>
      <c r="Y331" s="5" t="s">
        <v>816</v>
      </c>
      <c r="AA331" s="8">
        <v>46312</v>
      </c>
    </row>
    <row r="332" spans="1:27" ht="409.5" customHeight="1" x14ac:dyDescent="0.2">
      <c r="A332" s="5">
        <v>331</v>
      </c>
      <c r="B332" s="5">
        <v>326673366</v>
      </c>
      <c r="C332" s="5">
        <v>2</v>
      </c>
      <c r="D332" s="5" t="s">
        <v>64</v>
      </c>
      <c r="E332" s="5">
        <v>7</v>
      </c>
      <c r="F332" s="5" t="s">
        <v>457</v>
      </c>
      <c r="G332" s="5">
        <v>80</v>
      </c>
      <c r="H332" s="5">
        <f t="shared" si="10"/>
        <v>4.3820266346738812</v>
      </c>
      <c r="I332" s="5">
        <v>20</v>
      </c>
      <c r="J332" s="5">
        <v>3</v>
      </c>
      <c r="K332" s="5">
        <v>7</v>
      </c>
      <c r="L332" s="6">
        <f t="shared" si="11"/>
        <v>0.42857142857142855</v>
      </c>
      <c r="M332" s="5" t="s">
        <v>28</v>
      </c>
      <c r="N332" s="5" t="s">
        <v>61</v>
      </c>
      <c r="O332" s="5">
        <v>1</v>
      </c>
      <c r="P332" s="5">
        <v>102000000</v>
      </c>
      <c r="Q332" s="7" t="s">
        <v>817</v>
      </c>
      <c r="R332" s="5" t="s">
        <v>37</v>
      </c>
      <c r="S332" s="5">
        <v>3</v>
      </c>
      <c r="T332" s="5"/>
      <c r="U332" s="5">
        <v>3.8</v>
      </c>
      <c r="V332" s="5" t="s">
        <v>31</v>
      </c>
      <c r="W332" s="5">
        <v>2</v>
      </c>
      <c r="X332" s="5">
        <v>1</v>
      </c>
      <c r="Y332" s="5" t="s">
        <v>818</v>
      </c>
      <c r="AA332" s="8">
        <v>46312</v>
      </c>
    </row>
    <row r="333" spans="1:27" ht="409.5" customHeight="1" x14ac:dyDescent="0.2">
      <c r="A333" s="5">
        <v>332</v>
      </c>
      <c r="B333" s="5">
        <v>323616863</v>
      </c>
      <c r="C333" s="5">
        <v>6</v>
      </c>
      <c r="D333" s="5" t="s">
        <v>54</v>
      </c>
      <c r="E333" s="5">
        <v>10</v>
      </c>
      <c r="F333" s="5" t="s">
        <v>201</v>
      </c>
      <c r="G333" s="5">
        <v>520</v>
      </c>
      <c r="H333" s="5">
        <f t="shared" si="10"/>
        <v>6.253828811575473</v>
      </c>
      <c r="I333" s="5"/>
      <c r="J333" s="5">
        <v>6</v>
      </c>
      <c r="K333" s="5">
        <v>7</v>
      </c>
      <c r="L333" s="6">
        <f t="shared" si="11"/>
        <v>0.8571428571428571</v>
      </c>
      <c r="M333" s="5" t="s">
        <v>28</v>
      </c>
      <c r="N333" s="5" t="s">
        <v>35</v>
      </c>
      <c r="O333" s="5">
        <v>2</v>
      </c>
      <c r="P333" s="5">
        <v>1254265500</v>
      </c>
      <c r="Q333" s="7" t="s">
        <v>819</v>
      </c>
      <c r="R333" s="5" t="s">
        <v>37</v>
      </c>
      <c r="S333" s="5">
        <v>3</v>
      </c>
      <c r="T333" s="5">
        <v>4</v>
      </c>
      <c r="U333" s="5">
        <v>3.2</v>
      </c>
      <c r="V333" s="5" t="s">
        <v>38</v>
      </c>
      <c r="W333" s="5">
        <v>1</v>
      </c>
      <c r="X333" s="5">
        <v>1</v>
      </c>
      <c r="Y333" s="5" t="s">
        <v>820</v>
      </c>
      <c r="AA333" s="8">
        <v>46312</v>
      </c>
    </row>
    <row r="334" spans="1:27" ht="409.5" customHeight="1" x14ac:dyDescent="0.2">
      <c r="A334" s="5">
        <v>333</v>
      </c>
      <c r="B334" s="5">
        <v>317645526</v>
      </c>
      <c r="C334" s="5">
        <v>3</v>
      </c>
      <c r="D334" s="5" t="s">
        <v>54</v>
      </c>
      <c r="E334" s="5">
        <v>9</v>
      </c>
      <c r="F334" s="5" t="s">
        <v>233</v>
      </c>
      <c r="G334" s="5">
        <v>90</v>
      </c>
      <c r="H334" s="5">
        <f t="shared" si="10"/>
        <v>4.499809670330265</v>
      </c>
      <c r="I334" s="5">
        <v>75</v>
      </c>
      <c r="J334" s="5">
        <v>2</v>
      </c>
      <c r="K334" s="5">
        <v>7</v>
      </c>
      <c r="L334" s="6">
        <f t="shared" si="11"/>
        <v>0.2857142857142857</v>
      </c>
      <c r="M334" s="5" t="s">
        <v>28</v>
      </c>
      <c r="N334" s="5"/>
      <c r="O334" s="5">
        <v>0</v>
      </c>
      <c r="P334" s="5">
        <v>80000000</v>
      </c>
      <c r="Q334" s="7" t="s">
        <v>821</v>
      </c>
      <c r="R334" s="5" t="s">
        <v>37</v>
      </c>
      <c r="S334" s="5">
        <v>3</v>
      </c>
      <c r="T334" s="5">
        <v>4</v>
      </c>
      <c r="U334" s="5">
        <v>2.8</v>
      </c>
      <c r="V334" s="5" t="s">
        <v>52</v>
      </c>
      <c r="W334" s="5">
        <v>0</v>
      </c>
      <c r="X334" s="5">
        <v>1</v>
      </c>
      <c r="Y334" s="5" t="s">
        <v>822</v>
      </c>
      <c r="AA334" s="8">
        <v>46312</v>
      </c>
    </row>
    <row r="335" spans="1:27" ht="409.5" customHeight="1" x14ac:dyDescent="0.2">
      <c r="A335" s="5">
        <v>334</v>
      </c>
      <c r="B335" s="5">
        <v>329735305</v>
      </c>
      <c r="C335" s="5">
        <v>3</v>
      </c>
      <c r="D335" s="5" t="s">
        <v>64</v>
      </c>
      <c r="E335" s="5">
        <v>7</v>
      </c>
      <c r="F335" s="5" t="s">
        <v>191</v>
      </c>
      <c r="G335" s="5">
        <v>80</v>
      </c>
      <c r="H335" s="5">
        <f t="shared" si="10"/>
        <v>4.3820266346738812</v>
      </c>
      <c r="I335" s="5"/>
      <c r="J335" s="5">
        <v>4</v>
      </c>
      <c r="K335" s="5">
        <v>10</v>
      </c>
      <c r="L335" s="6">
        <f t="shared" si="11"/>
        <v>0.4</v>
      </c>
      <c r="M335" s="5" t="s">
        <v>28</v>
      </c>
      <c r="N335" s="5"/>
      <c r="O335" s="5">
        <v>0</v>
      </c>
      <c r="P335" s="5">
        <v>75000000</v>
      </c>
      <c r="Q335" s="7" t="s">
        <v>823</v>
      </c>
      <c r="R335" s="5" t="s">
        <v>30</v>
      </c>
      <c r="S335" s="5">
        <v>2</v>
      </c>
      <c r="T335" s="5">
        <v>2</v>
      </c>
      <c r="U335" s="5">
        <v>3</v>
      </c>
      <c r="V335" s="5" t="s">
        <v>38</v>
      </c>
      <c r="W335" s="5">
        <v>1</v>
      </c>
      <c r="X335" s="5">
        <v>1</v>
      </c>
      <c r="Y335" s="5" t="s">
        <v>824</v>
      </c>
      <c r="AA335" s="8">
        <v>46312</v>
      </c>
    </row>
    <row r="336" spans="1:27" ht="409.5" customHeight="1" x14ac:dyDescent="0.2">
      <c r="A336" s="5">
        <v>335</v>
      </c>
      <c r="B336" s="5">
        <v>332480936</v>
      </c>
      <c r="C336" s="5">
        <v>2</v>
      </c>
      <c r="D336" s="5" t="s">
        <v>54</v>
      </c>
      <c r="E336" s="5">
        <v>6</v>
      </c>
      <c r="F336" s="5" t="s">
        <v>825</v>
      </c>
      <c r="G336" s="5">
        <v>57.1</v>
      </c>
      <c r="H336" s="5">
        <f t="shared" si="10"/>
        <v>4.0448041166619646</v>
      </c>
      <c r="I336" s="5"/>
      <c r="J336" s="5">
        <v>5</v>
      </c>
      <c r="K336" s="5">
        <v>7</v>
      </c>
      <c r="L336" s="6">
        <f t="shared" si="11"/>
        <v>0.7142857142857143</v>
      </c>
      <c r="M336" s="5"/>
      <c r="N336" s="5"/>
      <c r="O336" s="5">
        <v>0</v>
      </c>
      <c r="P336" s="5">
        <v>51500000</v>
      </c>
      <c r="Q336" s="7" t="s">
        <v>826</v>
      </c>
      <c r="R336" s="5" t="s">
        <v>30</v>
      </c>
      <c r="S336" s="5">
        <v>2</v>
      </c>
      <c r="T336" s="5">
        <v>2</v>
      </c>
      <c r="U336" s="5">
        <v>3.2</v>
      </c>
      <c r="V336" s="5" t="s">
        <v>38</v>
      </c>
      <c r="W336" s="5">
        <v>1</v>
      </c>
      <c r="X336" s="5">
        <v>1</v>
      </c>
      <c r="Y336" s="5" t="s">
        <v>827</v>
      </c>
      <c r="AA336" s="8">
        <v>46312</v>
      </c>
    </row>
    <row r="337" spans="1:27" ht="409.5" customHeight="1" x14ac:dyDescent="0.2">
      <c r="A337" s="5">
        <v>336</v>
      </c>
      <c r="B337" s="5">
        <v>334478190</v>
      </c>
      <c r="C337" s="5">
        <v>6</v>
      </c>
      <c r="D337" s="5" t="s">
        <v>54</v>
      </c>
      <c r="E337" s="5">
        <v>9</v>
      </c>
      <c r="F337" s="5" t="s">
        <v>128</v>
      </c>
      <c r="G337" s="5">
        <v>250</v>
      </c>
      <c r="H337" s="5">
        <f t="shared" si="10"/>
        <v>5.521460917862246</v>
      </c>
      <c r="I337" s="5">
        <v>160</v>
      </c>
      <c r="J337" s="5">
        <v>6</v>
      </c>
      <c r="K337" s="5">
        <v>7</v>
      </c>
      <c r="L337" s="6">
        <f t="shared" si="11"/>
        <v>0.8571428571428571</v>
      </c>
      <c r="M337" s="5" t="s">
        <v>28</v>
      </c>
      <c r="N337" s="5" t="s">
        <v>67</v>
      </c>
      <c r="O337" s="5">
        <v>1</v>
      </c>
      <c r="P337" s="5">
        <v>179000000</v>
      </c>
      <c r="Q337" s="7" t="s">
        <v>828</v>
      </c>
      <c r="R337" s="5" t="s">
        <v>30</v>
      </c>
      <c r="S337" s="5">
        <v>2</v>
      </c>
      <c r="T337" s="5">
        <v>3</v>
      </c>
      <c r="U337" s="5"/>
      <c r="V337" s="5"/>
      <c r="W337" s="5"/>
      <c r="X337" s="5">
        <v>1</v>
      </c>
      <c r="Y337" s="5" t="s">
        <v>829</v>
      </c>
      <c r="AA337" s="8">
        <v>46312</v>
      </c>
    </row>
    <row r="338" spans="1:27" ht="409.5" customHeight="1" x14ac:dyDescent="0.2">
      <c r="A338" s="5">
        <v>337</v>
      </c>
      <c r="B338" s="5">
        <v>331334480</v>
      </c>
      <c r="C338" s="5">
        <v>2</v>
      </c>
      <c r="D338" s="5" t="s">
        <v>64</v>
      </c>
      <c r="E338" s="5">
        <v>14</v>
      </c>
      <c r="F338" s="5" t="s">
        <v>87</v>
      </c>
      <c r="G338" s="5">
        <v>60</v>
      </c>
      <c r="H338" s="5">
        <f t="shared" si="10"/>
        <v>4.0943445622221004</v>
      </c>
      <c r="I338" s="5">
        <v>36.700000000000003</v>
      </c>
      <c r="J338" s="5">
        <v>3</v>
      </c>
      <c r="K338" s="5">
        <v>9</v>
      </c>
      <c r="L338" s="6">
        <f t="shared" si="11"/>
        <v>0.33333333333333331</v>
      </c>
      <c r="M338" s="5" t="s">
        <v>28</v>
      </c>
      <c r="N338" s="5" t="s">
        <v>61</v>
      </c>
      <c r="O338" s="5">
        <v>1</v>
      </c>
      <c r="P338" s="5">
        <v>74295500</v>
      </c>
      <c r="Q338" s="7" t="s">
        <v>830</v>
      </c>
      <c r="R338" s="5" t="s">
        <v>30</v>
      </c>
      <c r="S338" s="5">
        <v>2</v>
      </c>
      <c r="T338" s="5">
        <v>1</v>
      </c>
      <c r="U338" s="5">
        <v>2.9</v>
      </c>
      <c r="V338" s="5" t="s">
        <v>52</v>
      </c>
      <c r="W338" s="5">
        <v>0</v>
      </c>
      <c r="X338" s="5">
        <v>1</v>
      </c>
      <c r="Y338" s="5" t="s">
        <v>831</v>
      </c>
      <c r="AA338" s="8">
        <v>46312</v>
      </c>
    </row>
    <row r="339" spans="1:27" ht="409.5" customHeight="1" x14ac:dyDescent="0.2">
      <c r="A339" s="5">
        <v>338</v>
      </c>
      <c r="B339" s="5">
        <v>333588003</v>
      </c>
      <c r="C339" s="5">
        <v>2</v>
      </c>
      <c r="D339" s="5" t="s">
        <v>54</v>
      </c>
      <c r="E339" s="5">
        <v>8</v>
      </c>
      <c r="F339" s="5" t="s">
        <v>87</v>
      </c>
      <c r="G339" s="5">
        <v>65</v>
      </c>
      <c r="H339" s="5">
        <f t="shared" si="10"/>
        <v>4.1743872698956368</v>
      </c>
      <c r="I339" s="5">
        <v>43</v>
      </c>
      <c r="J339" s="5">
        <v>3</v>
      </c>
      <c r="K339" s="5">
        <v>9</v>
      </c>
      <c r="L339" s="6">
        <f t="shared" si="11"/>
        <v>0.33333333333333331</v>
      </c>
      <c r="M339" s="5"/>
      <c r="N339" s="5"/>
      <c r="O339" s="5">
        <v>0</v>
      </c>
      <c r="P339" s="5">
        <v>77200000</v>
      </c>
      <c r="Q339" s="7" t="s">
        <v>251</v>
      </c>
      <c r="R339" s="5" t="s">
        <v>37</v>
      </c>
      <c r="S339" s="5">
        <v>3</v>
      </c>
      <c r="T339" s="5">
        <v>1</v>
      </c>
      <c r="U339" s="5"/>
      <c r="V339" s="5"/>
      <c r="W339" s="5"/>
      <c r="X339" s="5">
        <v>1</v>
      </c>
      <c r="Y339" s="5" t="s">
        <v>832</v>
      </c>
      <c r="AA339" s="8">
        <v>46312</v>
      </c>
    </row>
    <row r="340" spans="1:27" ht="409.5" customHeight="1" x14ac:dyDescent="0.2">
      <c r="A340" s="5">
        <v>339</v>
      </c>
      <c r="B340" s="5">
        <v>331532746</v>
      </c>
      <c r="C340" s="5">
        <v>2</v>
      </c>
      <c r="D340" s="5" t="s">
        <v>54</v>
      </c>
      <c r="E340" s="5">
        <v>9</v>
      </c>
      <c r="F340" s="5" t="s">
        <v>833</v>
      </c>
      <c r="G340" s="5">
        <v>118.4</v>
      </c>
      <c r="H340" s="5">
        <f t="shared" si="10"/>
        <v>4.774068722449905</v>
      </c>
      <c r="I340" s="5"/>
      <c r="J340" s="5">
        <v>2</v>
      </c>
      <c r="K340" s="5">
        <v>5</v>
      </c>
      <c r="L340" s="6">
        <f t="shared" si="11"/>
        <v>0.4</v>
      </c>
      <c r="M340" s="5" t="s">
        <v>57</v>
      </c>
      <c r="N340" s="5"/>
      <c r="O340" s="5">
        <v>0</v>
      </c>
      <c r="P340" s="5">
        <v>466000000</v>
      </c>
      <c r="Q340" s="7" t="s">
        <v>834</v>
      </c>
      <c r="R340" s="5" t="s">
        <v>37</v>
      </c>
      <c r="S340" s="5">
        <v>3</v>
      </c>
      <c r="T340" s="5">
        <v>3</v>
      </c>
      <c r="U340" s="5"/>
      <c r="V340" s="5"/>
      <c r="W340" s="5"/>
      <c r="X340" s="5">
        <v>1</v>
      </c>
      <c r="Y340" s="5" t="s">
        <v>835</v>
      </c>
      <c r="AA340" s="8">
        <v>46312</v>
      </c>
    </row>
    <row r="341" spans="1:27" ht="409.5" customHeight="1" x14ac:dyDescent="0.2">
      <c r="A341" s="5">
        <v>340</v>
      </c>
      <c r="B341" s="5">
        <v>287696469</v>
      </c>
      <c r="C341" s="5">
        <v>6</v>
      </c>
      <c r="D341" s="5" t="s">
        <v>54</v>
      </c>
      <c r="E341" s="5">
        <v>9</v>
      </c>
      <c r="F341" s="5" t="s">
        <v>836</v>
      </c>
      <c r="G341" s="5">
        <v>489.8</v>
      </c>
      <c r="H341" s="5">
        <f t="shared" si="10"/>
        <v>6.1939971445180673</v>
      </c>
      <c r="I341" s="5"/>
      <c r="J341" s="5">
        <v>6</v>
      </c>
      <c r="K341" s="5">
        <v>6</v>
      </c>
      <c r="L341" s="6">
        <f t="shared" si="11"/>
        <v>1</v>
      </c>
      <c r="M341" s="5"/>
      <c r="N341" s="5"/>
      <c r="O341" s="5">
        <v>0</v>
      </c>
      <c r="P341" s="5">
        <v>498800000</v>
      </c>
      <c r="Q341" s="7" t="s">
        <v>837</v>
      </c>
      <c r="R341" s="5" t="s">
        <v>37</v>
      </c>
      <c r="S341" s="5">
        <v>3</v>
      </c>
      <c r="T341" s="5">
        <v>2</v>
      </c>
      <c r="U341" s="5"/>
      <c r="V341" s="5"/>
      <c r="W341" s="5"/>
      <c r="X341" s="5">
        <v>1</v>
      </c>
      <c r="Y341" s="5" t="s">
        <v>838</v>
      </c>
      <c r="AA341" s="8">
        <v>46312</v>
      </c>
    </row>
    <row r="342" spans="1:27" ht="409.5" customHeight="1" x14ac:dyDescent="0.2">
      <c r="A342" s="5">
        <v>341</v>
      </c>
      <c r="B342" s="5">
        <v>331201195</v>
      </c>
      <c r="C342" s="5">
        <v>4</v>
      </c>
      <c r="D342" s="5" t="s">
        <v>26</v>
      </c>
      <c r="E342" s="5">
        <v>12</v>
      </c>
      <c r="F342" s="5" t="s">
        <v>803</v>
      </c>
      <c r="G342" s="5">
        <v>145</v>
      </c>
      <c r="H342" s="5">
        <f t="shared" si="10"/>
        <v>4.9767337424205742</v>
      </c>
      <c r="I342" s="5">
        <v>110</v>
      </c>
      <c r="J342" s="5">
        <v>2</v>
      </c>
      <c r="K342" s="5">
        <v>6</v>
      </c>
      <c r="L342" s="6">
        <f t="shared" si="11"/>
        <v>0.33333333333333331</v>
      </c>
      <c r="M342" s="5" t="s">
        <v>57</v>
      </c>
      <c r="N342" s="5" t="s">
        <v>67</v>
      </c>
      <c r="O342" s="5">
        <v>1</v>
      </c>
      <c r="P342" s="5">
        <v>180000000</v>
      </c>
      <c r="Q342" s="7" t="s">
        <v>839</v>
      </c>
      <c r="R342" s="5" t="s">
        <v>37</v>
      </c>
      <c r="S342" s="5">
        <v>3</v>
      </c>
      <c r="T342" s="5">
        <v>2</v>
      </c>
      <c r="U342" s="5"/>
      <c r="V342" s="5"/>
      <c r="W342" s="5"/>
      <c r="X342" s="5">
        <v>1</v>
      </c>
      <c r="Y342" s="5" t="s">
        <v>840</v>
      </c>
      <c r="AA342" s="8">
        <v>46312</v>
      </c>
    </row>
    <row r="343" spans="1:27" ht="409.5" customHeight="1" x14ac:dyDescent="0.2">
      <c r="A343" s="5">
        <v>342</v>
      </c>
      <c r="B343" s="5">
        <v>324443944</v>
      </c>
      <c r="C343" s="5">
        <v>2</v>
      </c>
      <c r="D343" s="5" t="s">
        <v>64</v>
      </c>
      <c r="E343" s="5">
        <v>2</v>
      </c>
      <c r="F343" s="5" t="s">
        <v>65</v>
      </c>
      <c r="G343" s="5">
        <v>62</v>
      </c>
      <c r="H343" s="5">
        <f t="shared" si="10"/>
        <v>4.1271343850450917</v>
      </c>
      <c r="I343" s="5">
        <v>30</v>
      </c>
      <c r="J343" s="5">
        <v>4</v>
      </c>
      <c r="K343" s="5">
        <v>8</v>
      </c>
      <c r="L343" s="6">
        <f t="shared" si="11"/>
        <v>0.5</v>
      </c>
      <c r="M343" s="5" t="s">
        <v>28</v>
      </c>
      <c r="N343" s="5" t="s">
        <v>61</v>
      </c>
      <c r="O343" s="5">
        <v>1</v>
      </c>
      <c r="P343" s="5">
        <v>46490000</v>
      </c>
      <c r="Q343" s="7" t="s">
        <v>841</v>
      </c>
      <c r="R343" s="5" t="s">
        <v>37</v>
      </c>
      <c r="S343" s="5">
        <v>3</v>
      </c>
      <c r="T343" s="5">
        <v>1</v>
      </c>
      <c r="U343" s="5">
        <v>3.5</v>
      </c>
      <c r="V343" s="5" t="s">
        <v>38</v>
      </c>
      <c r="W343" s="5">
        <v>1</v>
      </c>
      <c r="X343" s="5">
        <v>1</v>
      </c>
      <c r="Y343" s="5" t="s">
        <v>842</v>
      </c>
      <c r="AA343" s="8">
        <v>46312</v>
      </c>
    </row>
    <row r="344" spans="1:27" ht="409.5" customHeight="1" x14ac:dyDescent="0.2">
      <c r="A344" s="5">
        <v>343</v>
      </c>
      <c r="B344" s="5">
        <v>334288429</v>
      </c>
      <c r="C344" s="5">
        <v>3</v>
      </c>
      <c r="D344" s="5" t="s">
        <v>64</v>
      </c>
      <c r="E344" s="5">
        <v>10</v>
      </c>
      <c r="F344" s="5" t="s">
        <v>701</v>
      </c>
      <c r="G344" s="5">
        <v>99.5</v>
      </c>
      <c r="H344" s="5">
        <f t="shared" si="10"/>
        <v>4.6001576441645469</v>
      </c>
      <c r="I344" s="5"/>
      <c r="J344" s="5">
        <v>3</v>
      </c>
      <c r="K344" s="5">
        <v>7</v>
      </c>
      <c r="L344" s="6">
        <f t="shared" si="11"/>
        <v>0.42857142857142855</v>
      </c>
      <c r="M344" s="5" t="s">
        <v>28</v>
      </c>
      <c r="N344" s="5" t="s">
        <v>61</v>
      </c>
      <c r="O344" s="5">
        <v>1</v>
      </c>
      <c r="P344" s="5">
        <v>84500000</v>
      </c>
      <c r="Q344" s="7" t="s">
        <v>843</v>
      </c>
      <c r="R344" s="5" t="s">
        <v>37</v>
      </c>
      <c r="S344" s="5">
        <v>3</v>
      </c>
      <c r="T344" s="5">
        <v>2</v>
      </c>
      <c r="U344" s="5">
        <v>3</v>
      </c>
      <c r="V344" s="5" t="s">
        <v>38</v>
      </c>
      <c r="W344" s="5">
        <v>1</v>
      </c>
      <c r="X344" s="5">
        <v>1</v>
      </c>
      <c r="Y344" s="5" t="s">
        <v>844</v>
      </c>
      <c r="AA344" s="8">
        <v>46312</v>
      </c>
    </row>
    <row r="345" spans="1:27" ht="409.5" customHeight="1" x14ac:dyDescent="0.2">
      <c r="A345" s="5">
        <v>344</v>
      </c>
      <c r="B345" s="5">
        <v>334974172</v>
      </c>
      <c r="C345" s="5">
        <v>4</v>
      </c>
      <c r="D345" s="5" t="s">
        <v>33</v>
      </c>
      <c r="E345" s="5">
        <v>13</v>
      </c>
      <c r="F345" s="5" t="s">
        <v>34</v>
      </c>
      <c r="G345" s="5">
        <v>164</v>
      </c>
      <c r="H345" s="5">
        <f t="shared" si="10"/>
        <v>5.0998664278241987</v>
      </c>
      <c r="I345" s="5">
        <v>63</v>
      </c>
      <c r="J345" s="5">
        <v>2</v>
      </c>
      <c r="K345" s="5">
        <v>9</v>
      </c>
      <c r="L345" s="6">
        <f t="shared" si="11"/>
        <v>0.22222222222222221</v>
      </c>
      <c r="M345" s="5" t="s">
        <v>44</v>
      </c>
      <c r="N345" s="5" t="s">
        <v>35</v>
      </c>
      <c r="O345" s="5">
        <v>2</v>
      </c>
      <c r="P345" s="5">
        <v>440000000</v>
      </c>
      <c r="Q345" s="7" t="s">
        <v>845</v>
      </c>
      <c r="R345" s="5" t="s">
        <v>41</v>
      </c>
      <c r="S345" s="5">
        <v>0</v>
      </c>
      <c r="T345" s="5">
        <v>4</v>
      </c>
      <c r="U345" s="5"/>
      <c r="V345" s="5"/>
      <c r="W345" s="5"/>
      <c r="X345" s="5">
        <v>1</v>
      </c>
      <c r="Y345" s="5" t="s">
        <v>846</v>
      </c>
      <c r="AA345" s="8">
        <v>46312</v>
      </c>
    </row>
    <row r="346" spans="1:27" ht="409.5" customHeight="1" x14ac:dyDescent="0.2">
      <c r="A346" s="5">
        <v>345</v>
      </c>
      <c r="B346" s="5">
        <v>325790081</v>
      </c>
      <c r="C346" s="5">
        <v>3</v>
      </c>
      <c r="D346" s="5" t="s">
        <v>54</v>
      </c>
      <c r="E346" s="5">
        <v>10</v>
      </c>
      <c r="F346" s="5" t="s">
        <v>43</v>
      </c>
      <c r="G346" s="5">
        <v>219</v>
      </c>
      <c r="H346" s="5">
        <f t="shared" si="10"/>
        <v>5.389071729816501</v>
      </c>
      <c r="I346" s="5">
        <v>59.1</v>
      </c>
      <c r="J346" s="5">
        <v>6</v>
      </c>
      <c r="K346" s="5">
        <v>7</v>
      </c>
      <c r="L346" s="6">
        <f t="shared" si="11"/>
        <v>0.8571428571428571</v>
      </c>
      <c r="M346" s="5" t="s">
        <v>44</v>
      </c>
      <c r="N346" s="5" t="s">
        <v>35</v>
      </c>
      <c r="O346" s="5">
        <v>2</v>
      </c>
      <c r="P346" s="5">
        <v>1320000000</v>
      </c>
      <c r="Q346" s="7" t="s">
        <v>847</v>
      </c>
      <c r="R346" s="5" t="s">
        <v>37</v>
      </c>
      <c r="S346" s="5">
        <v>3</v>
      </c>
      <c r="T346" s="5"/>
      <c r="U346" s="5"/>
      <c r="V346" s="5"/>
      <c r="W346" s="5"/>
      <c r="X346" s="5">
        <v>1</v>
      </c>
      <c r="Y346" s="5" t="s">
        <v>848</v>
      </c>
      <c r="AA346" s="8">
        <v>46312</v>
      </c>
    </row>
    <row r="347" spans="1:27" ht="409.5" customHeight="1" x14ac:dyDescent="0.2">
      <c r="A347" s="5">
        <v>346</v>
      </c>
      <c r="B347" s="5">
        <v>333788380</v>
      </c>
      <c r="C347" s="5">
        <v>3</v>
      </c>
      <c r="D347" s="5" t="s">
        <v>54</v>
      </c>
      <c r="E347" s="5">
        <v>3</v>
      </c>
      <c r="F347" s="5" t="s">
        <v>506</v>
      </c>
      <c r="G347" s="5">
        <v>97</v>
      </c>
      <c r="H347" s="5">
        <f t="shared" si="10"/>
        <v>4.5747109785033828</v>
      </c>
      <c r="I347" s="5"/>
      <c r="J347" s="5">
        <v>3</v>
      </c>
      <c r="K347" s="5">
        <v>5</v>
      </c>
      <c r="L347" s="6">
        <f t="shared" si="11"/>
        <v>0.6</v>
      </c>
      <c r="M347" s="5" t="s">
        <v>57</v>
      </c>
      <c r="N347" s="5"/>
      <c r="O347" s="5">
        <v>0</v>
      </c>
      <c r="P347" s="5">
        <v>84000000</v>
      </c>
      <c r="Q347" s="7" t="s">
        <v>849</v>
      </c>
      <c r="R347" s="5" t="s">
        <v>37</v>
      </c>
      <c r="S347" s="5">
        <v>3</v>
      </c>
      <c r="T347" s="5">
        <v>2</v>
      </c>
      <c r="U347" s="5"/>
      <c r="V347" s="5"/>
      <c r="W347" s="5"/>
      <c r="X347" s="5">
        <v>1</v>
      </c>
      <c r="Y347" s="5" t="s">
        <v>850</v>
      </c>
      <c r="AA347" s="8">
        <v>46312</v>
      </c>
    </row>
    <row r="348" spans="1:27" ht="409.5" customHeight="1" x14ac:dyDescent="0.2">
      <c r="A348" s="5">
        <v>347</v>
      </c>
      <c r="B348" s="5">
        <v>333023041</v>
      </c>
      <c r="C348" s="5">
        <v>4</v>
      </c>
      <c r="D348" s="5" t="s">
        <v>26</v>
      </c>
      <c r="E348" s="5">
        <v>9</v>
      </c>
      <c r="F348" s="5" t="s">
        <v>128</v>
      </c>
      <c r="G348" s="5">
        <v>249.8</v>
      </c>
      <c r="H348" s="5">
        <f t="shared" si="10"/>
        <v>5.5206605976914771</v>
      </c>
      <c r="I348" s="5">
        <v>160</v>
      </c>
      <c r="J348" s="5">
        <v>6</v>
      </c>
      <c r="K348" s="5">
        <v>6</v>
      </c>
      <c r="L348" s="6">
        <f t="shared" si="11"/>
        <v>1</v>
      </c>
      <c r="M348" s="5" t="s">
        <v>28</v>
      </c>
      <c r="N348" s="5" t="s">
        <v>67</v>
      </c>
      <c r="O348" s="5">
        <v>1</v>
      </c>
      <c r="P348" s="5">
        <v>178990000</v>
      </c>
      <c r="Q348" s="7" t="s">
        <v>851</v>
      </c>
      <c r="R348" s="5" t="s">
        <v>37</v>
      </c>
      <c r="S348" s="5">
        <v>3</v>
      </c>
      <c r="T348" s="5">
        <v>3</v>
      </c>
      <c r="U348" s="5">
        <v>3.5</v>
      </c>
      <c r="V348" s="5" t="s">
        <v>38</v>
      </c>
      <c r="W348" s="5">
        <v>1</v>
      </c>
      <c r="X348" s="5">
        <v>1</v>
      </c>
      <c r="Y348" s="5" t="s">
        <v>852</v>
      </c>
      <c r="AA348" s="8">
        <v>46312</v>
      </c>
    </row>
    <row r="349" spans="1:27" ht="409.5" customHeight="1" x14ac:dyDescent="0.2">
      <c r="A349" s="5">
        <v>348</v>
      </c>
      <c r="B349" s="5">
        <v>334703018</v>
      </c>
      <c r="C349" s="5">
        <v>4</v>
      </c>
      <c r="D349" s="5" t="s">
        <v>33</v>
      </c>
      <c r="E349" s="5">
        <v>13</v>
      </c>
      <c r="F349" s="5" t="s">
        <v>34</v>
      </c>
      <c r="G349" s="5">
        <v>164</v>
      </c>
      <c r="H349" s="5">
        <f t="shared" si="10"/>
        <v>5.0998664278241987</v>
      </c>
      <c r="I349" s="5">
        <v>130</v>
      </c>
      <c r="J349" s="5">
        <v>2</v>
      </c>
      <c r="K349" s="5">
        <v>9</v>
      </c>
      <c r="L349" s="6">
        <f t="shared" si="11"/>
        <v>0.22222222222222221</v>
      </c>
      <c r="M349" s="5" t="s">
        <v>57</v>
      </c>
      <c r="N349" s="5" t="s">
        <v>35</v>
      </c>
      <c r="O349" s="5">
        <v>2</v>
      </c>
      <c r="P349" s="5">
        <v>445000000</v>
      </c>
      <c r="Q349" s="7" t="s">
        <v>853</v>
      </c>
      <c r="R349" s="5" t="s">
        <v>41</v>
      </c>
      <c r="S349" s="5">
        <v>0</v>
      </c>
      <c r="T349" s="5">
        <v>2</v>
      </c>
      <c r="U349" s="5"/>
      <c r="V349" s="5"/>
      <c r="W349" s="5"/>
      <c r="X349" s="5">
        <v>1</v>
      </c>
      <c r="Y349" s="5" t="s">
        <v>854</v>
      </c>
      <c r="AA349" s="8">
        <v>46312</v>
      </c>
    </row>
    <row r="350" spans="1:27" ht="409.5" customHeight="1" x14ac:dyDescent="0.2">
      <c r="A350" s="5">
        <v>349</v>
      </c>
      <c r="B350" s="5">
        <v>327903459</v>
      </c>
      <c r="C350" s="5">
        <v>4</v>
      </c>
      <c r="D350" s="5" t="s">
        <v>54</v>
      </c>
      <c r="E350" s="5">
        <v>10</v>
      </c>
      <c r="F350" s="5" t="s">
        <v>198</v>
      </c>
      <c r="G350" s="5">
        <v>147</v>
      </c>
      <c r="H350" s="5">
        <f t="shared" si="10"/>
        <v>4.990432586778736</v>
      </c>
      <c r="I350" s="5">
        <v>117</v>
      </c>
      <c r="J350" s="5">
        <v>6</v>
      </c>
      <c r="K350" s="5">
        <v>9</v>
      </c>
      <c r="L350" s="6">
        <f t="shared" si="11"/>
        <v>0.66666666666666663</v>
      </c>
      <c r="M350" s="5" t="s">
        <v>57</v>
      </c>
      <c r="N350" s="5" t="s">
        <v>35</v>
      </c>
      <c r="O350" s="5">
        <v>2</v>
      </c>
      <c r="P350" s="5">
        <v>168000000</v>
      </c>
      <c r="Q350" s="7" t="s">
        <v>855</v>
      </c>
      <c r="R350" s="5" t="s">
        <v>30</v>
      </c>
      <c r="S350" s="5">
        <v>2</v>
      </c>
      <c r="T350" s="5">
        <v>3</v>
      </c>
      <c r="U350" s="5">
        <v>3</v>
      </c>
      <c r="V350" s="5" t="s">
        <v>38</v>
      </c>
      <c r="W350" s="5">
        <v>1</v>
      </c>
      <c r="X350" s="5">
        <v>1</v>
      </c>
      <c r="Y350" s="5" t="s">
        <v>856</v>
      </c>
      <c r="AA350" s="8">
        <v>46312</v>
      </c>
    </row>
    <row r="351" spans="1:27" ht="409.5" customHeight="1" x14ac:dyDescent="0.2">
      <c r="A351" s="5">
        <v>350</v>
      </c>
      <c r="B351" s="5">
        <v>334854477</v>
      </c>
      <c r="C351" s="5">
        <v>3</v>
      </c>
      <c r="D351" s="5" t="s">
        <v>64</v>
      </c>
      <c r="E351" s="5">
        <v>7</v>
      </c>
      <c r="F351" s="5" t="s">
        <v>191</v>
      </c>
      <c r="G351" s="5">
        <v>80</v>
      </c>
      <c r="H351" s="5">
        <f t="shared" si="10"/>
        <v>4.3820266346738812</v>
      </c>
      <c r="I351" s="5"/>
      <c r="J351" s="5">
        <v>4</v>
      </c>
      <c r="K351" s="5">
        <v>10</v>
      </c>
      <c r="L351" s="6">
        <f t="shared" si="11"/>
        <v>0.4</v>
      </c>
      <c r="M351" s="5" t="s">
        <v>28</v>
      </c>
      <c r="N351" s="5" t="s">
        <v>61</v>
      </c>
      <c r="O351" s="5">
        <v>1</v>
      </c>
      <c r="P351" s="5">
        <v>75000000</v>
      </c>
      <c r="Q351" s="7" t="s">
        <v>857</v>
      </c>
      <c r="R351" s="5" t="s">
        <v>37</v>
      </c>
      <c r="S351" s="5">
        <v>3</v>
      </c>
      <c r="T351" s="5">
        <v>2</v>
      </c>
      <c r="U351" s="5">
        <v>3</v>
      </c>
      <c r="V351" s="5" t="s">
        <v>38</v>
      </c>
      <c r="W351" s="5">
        <v>1</v>
      </c>
      <c r="X351" s="5">
        <v>1</v>
      </c>
      <c r="Y351" s="5" t="s">
        <v>858</v>
      </c>
      <c r="AA351" s="8">
        <v>46312</v>
      </c>
    </row>
    <row r="352" spans="1:27" ht="409.5" customHeight="1" x14ac:dyDescent="0.2">
      <c r="A352" s="5">
        <v>351</v>
      </c>
      <c r="B352" s="5">
        <v>335035330</v>
      </c>
      <c r="C352" s="5">
        <v>3</v>
      </c>
      <c r="D352" s="5" t="s">
        <v>26</v>
      </c>
      <c r="E352" s="5">
        <v>8</v>
      </c>
      <c r="F352" s="5" t="s">
        <v>204</v>
      </c>
      <c r="G352" s="5">
        <v>96</v>
      </c>
      <c r="H352" s="5">
        <f t="shared" si="10"/>
        <v>4.5643481914678361</v>
      </c>
      <c r="I352" s="5">
        <v>24</v>
      </c>
      <c r="J352" s="5">
        <v>6</v>
      </c>
      <c r="K352" s="5">
        <v>17</v>
      </c>
      <c r="L352" s="6">
        <f t="shared" si="11"/>
        <v>0.35294117647058826</v>
      </c>
      <c r="M352" s="5" t="s">
        <v>28</v>
      </c>
      <c r="N352" s="5" t="s">
        <v>61</v>
      </c>
      <c r="O352" s="5">
        <v>1</v>
      </c>
      <c r="P352" s="5">
        <v>83000000</v>
      </c>
      <c r="Q352" s="7" t="s">
        <v>859</v>
      </c>
      <c r="R352" s="5" t="s">
        <v>37</v>
      </c>
      <c r="S352" s="5">
        <v>3</v>
      </c>
      <c r="T352" s="5">
        <v>3</v>
      </c>
      <c r="U352" s="5">
        <v>2.8</v>
      </c>
      <c r="V352" s="5" t="s">
        <v>52</v>
      </c>
      <c r="W352" s="5">
        <v>0</v>
      </c>
      <c r="X352" s="5">
        <v>1</v>
      </c>
      <c r="Y352" s="5" t="s">
        <v>860</v>
      </c>
      <c r="AA352" s="8">
        <v>46312</v>
      </c>
    </row>
    <row r="353" spans="1:27" ht="409.5" customHeight="1" x14ac:dyDescent="0.2">
      <c r="A353" s="5">
        <v>352</v>
      </c>
      <c r="B353" s="5">
        <v>331429971</v>
      </c>
      <c r="C353" s="5">
        <v>3</v>
      </c>
      <c r="D353" s="5" t="s">
        <v>349</v>
      </c>
      <c r="E353" s="5">
        <v>5</v>
      </c>
      <c r="F353" s="5" t="s">
        <v>358</v>
      </c>
      <c r="G353" s="5">
        <v>106.8</v>
      </c>
      <c r="H353" s="5">
        <f t="shared" si="10"/>
        <v>4.6709579265260945</v>
      </c>
      <c r="I353" s="5"/>
      <c r="J353" s="5">
        <v>3</v>
      </c>
      <c r="K353" s="5">
        <v>4</v>
      </c>
      <c r="L353" s="6">
        <f t="shared" si="11"/>
        <v>0.75</v>
      </c>
      <c r="M353" s="5" t="s">
        <v>44</v>
      </c>
      <c r="N353" s="5" t="s">
        <v>61</v>
      </c>
      <c r="O353" s="5">
        <v>1</v>
      </c>
      <c r="P353" s="5">
        <v>225000000</v>
      </c>
      <c r="Q353" s="7" t="s">
        <v>861</v>
      </c>
      <c r="R353" s="5" t="s">
        <v>37</v>
      </c>
      <c r="S353" s="5">
        <v>3</v>
      </c>
      <c r="T353" s="5">
        <v>3</v>
      </c>
      <c r="U353" s="5">
        <v>4.5</v>
      </c>
      <c r="V353" s="11" t="s">
        <v>31</v>
      </c>
      <c r="W353" s="5">
        <v>2</v>
      </c>
      <c r="X353" s="5">
        <v>0</v>
      </c>
      <c r="Y353" s="5" t="s">
        <v>862</v>
      </c>
      <c r="AA353" s="8">
        <v>46312</v>
      </c>
    </row>
    <row r="354" spans="1:27" ht="409.5" customHeight="1" x14ac:dyDescent="0.2">
      <c r="A354" s="5">
        <v>353</v>
      </c>
      <c r="B354" s="5">
        <v>332422507</v>
      </c>
      <c r="C354" s="5">
        <v>3</v>
      </c>
      <c r="D354" s="5" t="s">
        <v>349</v>
      </c>
      <c r="E354" s="5">
        <v>5</v>
      </c>
      <c r="F354" s="5" t="s">
        <v>358</v>
      </c>
      <c r="G354" s="5">
        <v>106.8</v>
      </c>
      <c r="H354" s="5">
        <f t="shared" si="10"/>
        <v>4.6709579265260945</v>
      </c>
      <c r="I354" s="5"/>
      <c r="J354" s="5">
        <v>3</v>
      </c>
      <c r="K354" s="5">
        <v>4</v>
      </c>
      <c r="L354" s="6">
        <f t="shared" si="11"/>
        <v>0.75</v>
      </c>
      <c r="M354" s="5"/>
      <c r="N354" s="5"/>
      <c r="O354" s="5">
        <v>0</v>
      </c>
      <c r="P354" s="5">
        <v>225000000</v>
      </c>
      <c r="Q354" s="7" t="s">
        <v>863</v>
      </c>
      <c r="R354" s="5" t="s">
        <v>37</v>
      </c>
      <c r="S354" s="5">
        <v>3</v>
      </c>
      <c r="T354" s="5">
        <v>3</v>
      </c>
      <c r="U354" s="5">
        <v>4.5</v>
      </c>
      <c r="V354" s="11" t="s">
        <v>31</v>
      </c>
      <c r="W354" s="5">
        <v>2</v>
      </c>
      <c r="X354" s="5">
        <v>0</v>
      </c>
      <c r="Y354" s="5" t="s">
        <v>864</v>
      </c>
      <c r="AA354" s="8">
        <v>46312</v>
      </c>
    </row>
    <row r="355" spans="1:27" ht="409.5" customHeight="1" x14ac:dyDescent="0.2">
      <c r="A355" s="5">
        <v>354</v>
      </c>
      <c r="B355" s="5">
        <v>331959129</v>
      </c>
      <c r="C355" s="5">
        <v>3</v>
      </c>
      <c r="D355" s="5" t="s">
        <v>349</v>
      </c>
      <c r="E355" s="5">
        <v>5</v>
      </c>
      <c r="F355" s="5" t="s">
        <v>865</v>
      </c>
      <c r="G355" s="5">
        <v>163.30000000000001</v>
      </c>
      <c r="H355" s="5">
        <f t="shared" si="10"/>
        <v>5.0955889999764192</v>
      </c>
      <c r="I355" s="5"/>
      <c r="J355" s="5">
        <v>1</v>
      </c>
      <c r="K355" s="5">
        <v>3</v>
      </c>
      <c r="L355" s="6">
        <f t="shared" si="11"/>
        <v>0.33333333333333331</v>
      </c>
      <c r="M355" s="5" t="s">
        <v>28</v>
      </c>
      <c r="N355" s="5" t="s">
        <v>67</v>
      </c>
      <c r="O355" s="5">
        <v>1</v>
      </c>
      <c r="P355" s="5">
        <v>290000000</v>
      </c>
      <c r="Q355" s="7" t="s">
        <v>866</v>
      </c>
      <c r="R355" s="5" t="s">
        <v>37</v>
      </c>
      <c r="S355" s="5">
        <v>3</v>
      </c>
      <c r="T355" s="5">
        <v>2</v>
      </c>
      <c r="U355" s="5">
        <v>8.5</v>
      </c>
      <c r="V355" s="11" t="s">
        <v>31</v>
      </c>
      <c r="W355" s="5">
        <v>2</v>
      </c>
      <c r="X355" s="5">
        <v>0</v>
      </c>
      <c r="Y355" s="5" t="s">
        <v>867</v>
      </c>
      <c r="AA355" s="8">
        <v>46312</v>
      </c>
    </row>
    <row r="356" spans="1:27" ht="409.5" customHeight="1" x14ac:dyDescent="0.2">
      <c r="A356" s="5">
        <v>355</v>
      </c>
      <c r="B356" s="5">
        <v>330546211</v>
      </c>
      <c r="C356" s="5">
        <v>3</v>
      </c>
      <c r="D356" s="5" t="s">
        <v>349</v>
      </c>
      <c r="E356" s="5">
        <v>6</v>
      </c>
      <c r="F356" s="5" t="s">
        <v>430</v>
      </c>
      <c r="G356" s="5">
        <v>179</v>
      </c>
      <c r="H356" s="5">
        <f t="shared" si="10"/>
        <v>5.1873858058407549</v>
      </c>
      <c r="I356" s="5"/>
      <c r="J356" s="5">
        <v>2</v>
      </c>
      <c r="K356" s="5">
        <v>2</v>
      </c>
      <c r="L356" s="6">
        <f t="shared" si="11"/>
        <v>1</v>
      </c>
      <c r="M356" s="5"/>
      <c r="N356" s="5"/>
      <c r="O356" s="5">
        <v>0</v>
      </c>
      <c r="P356" s="5">
        <v>270000000</v>
      </c>
      <c r="Q356" s="7" t="s">
        <v>868</v>
      </c>
      <c r="R356" s="5" t="s">
        <v>37</v>
      </c>
      <c r="S356" s="5">
        <v>3</v>
      </c>
      <c r="T356" s="5">
        <v>3</v>
      </c>
      <c r="U356" s="5">
        <v>3.3</v>
      </c>
      <c r="V356" s="11" t="s">
        <v>38</v>
      </c>
      <c r="W356" s="5">
        <v>1</v>
      </c>
      <c r="X356" s="5">
        <v>0</v>
      </c>
      <c r="Y356" s="5" t="s">
        <v>869</v>
      </c>
      <c r="AA356" s="8">
        <v>46312</v>
      </c>
    </row>
    <row r="357" spans="1:27" ht="409.5" customHeight="1" x14ac:dyDescent="0.2">
      <c r="A357" s="5">
        <v>356</v>
      </c>
      <c r="B357" s="5">
        <v>333503535</v>
      </c>
      <c r="C357" s="5">
        <v>2</v>
      </c>
      <c r="D357" s="5" t="s">
        <v>349</v>
      </c>
      <c r="E357" s="5">
        <v>3</v>
      </c>
      <c r="F357" s="5" t="s">
        <v>387</v>
      </c>
      <c r="G357" s="5">
        <v>51.6</v>
      </c>
      <c r="H357" s="5">
        <f t="shared" si="10"/>
        <v>3.9435216724875173</v>
      </c>
      <c r="I357" s="5"/>
      <c r="J357" s="5">
        <v>2</v>
      </c>
      <c r="K357" s="5">
        <v>3</v>
      </c>
      <c r="L357" s="6">
        <f t="shared" si="11"/>
        <v>0.66666666666666663</v>
      </c>
      <c r="M357" s="5" t="s">
        <v>870</v>
      </c>
      <c r="N357" s="5"/>
      <c r="O357" s="5">
        <v>0</v>
      </c>
      <c r="P357" s="5">
        <v>43000000</v>
      </c>
      <c r="Q357" s="7" t="s">
        <v>871</v>
      </c>
      <c r="R357" s="5" t="s">
        <v>37</v>
      </c>
      <c r="S357" s="5">
        <v>3</v>
      </c>
      <c r="T357" s="5">
        <v>1</v>
      </c>
      <c r="U357" s="5">
        <v>4</v>
      </c>
      <c r="V357" s="11" t="s">
        <v>31</v>
      </c>
      <c r="W357" s="5">
        <v>2</v>
      </c>
      <c r="X357" s="5">
        <v>0</v>
      </c>
      <c r="Y357" s="5" t="s">
        <v>872</v>
      </c>
      <c r="AA357" s="8">
        <v>46312</v>
      </c>
    </row>
    <row r="358" spans="1:27" ht="409.5" customHeight="1" x14ac:dyDescent="0.2">
      <c r="A358" s="5">
        <v>357</v>
      </c>
      <c r="B358" s="5">
        <v>314331391</v>
      </c>
      <c r="C358" s="5">
        <v>3</v>
      </c>
      <c r="D358" s="5" t="s">
        <v>349</v>
      </c>
      <c r="E358" s="5">
        <v>9</v>
      </c>
      <c r="F358" s="5" t="s">
        <v>873</v>
      </c>
      <c r="G358" s="5">
        <v>57.9</v>
      </c>
      <c r="H358" s="5">
        <f t="shared" si="10"/>
        <v>4.0587173845789497</v>
      </c>
      <c r="I358" s="5">
        <v>38.299999999999997</v>
      </c>
      <c r="J358" s="5">
        <v>1</v>
      </c>
      <c r="K358" s="5">
        <v>9</v>
      </c>
      <c r="L358" s="6">
        <f t="shared" si="11"/>
        <v>0.1111111111111111</v>
      </c>
      <c r="M358" s="5" t="s">
        <v>28</v>
      </c>
      <c r="N358" s="5" t="s">
        <v>67</v>
      </c>
      <c r="O358" s="5">
        <v>1</v>
      </c>
      <c r="P358" s="5">
        <v>32490000</v>
      </c>
      <c r="Q358" s="7" t="s">
        <v>874</v>
      </c>
      <c r="R358" s="5" t="s">
        <v>107</v>
      </c>
      <c r="S358" s="5">
        <v>1</v>
      </c>
      <c r="T358" s="5">
        <v>1</v>
      </c>
      <c r="U358" s="5">
        <v>2.5</v>
      </c>
      <c r="V358" s="11" t="s">
        <v>52</v>
      </c>
      <c r="W358" s="5">
        <v>0</v>
      </c>
      <c r="X358" s="5">
        <v>0</v>
      </c>
      <c r="Y358" s="5" t="s">
        <v>875</v>
      </c>
      <c r="AA358" s="8">
        <v>46312</v>
      </c>
    </row>
    <row r="359" spans="1:27" ht="409.5" customHeight="1" x14ac:dyDescent="0.2">
      <c r="A359" s="5">
        <v>358</v>
      </c>
      <c r="B359" s="5">
        <v>334347954</v>
      </c>
      <c r="C359" s="5">
        <v>3</v>
      </c>
      <c r="D359" s="5" t="s">
        <v>349</v>
      </c>
      <c r="E359" s="5">
        <v>5</v>
      </c>
      <c r="F359" s="5" t="s">
        <v>865</v>
      </c>
      <c r="G359" s="5">
        <v>127.7</v>
      </c>
      <c r="H359" s="5">
        <f t="shared" si="10"/>
        <v>4.8496837630384935</v>
      </c>
      <c r="I359" s="5">
        <v>80</v>
      </c>
      <c r="J359" s="5">
        <v>3</v>
      </c>
      <c r="K359" s="5">
        <v>3</v>
      </c>
      <c r="L359" s="6">
        <f t="shared" si="11"/>
        <v>1</v>
      </c>
      <c r="M359" s="5"/>
      <c r="N359" s="5" t="s">
        <v>61</v>
      </c>
      <c r="O359" s="5">
        <v>1</v>
      </c>
      <c r="P359" s="5">
        <v>204320000</v>
      </c>
      <c r="Q359" s="7" t="s">
        <v>876</v>
      </c>
      <c r="R359" s="5" t="s">
        <v>37</v>
      </c>
      <c r="S359" s="5">
        <v>3</v>
      </c>
      <c r="T359" s="5">
        <v>1</v>
      </c>
      <c r="U359" s="5">
        <v>7.7</v>
      </c>
      <c r="V359" s="11" t="s">
        <v>31</v>
      </c>
      <c r="W359" s="5">
        <v>2</v>
      </c>
      <c r="X359" s="5">
        <v>0</v>
      </c>
      <c r="Y359" s="5" t="s">
        <v>877</v>
      </c>
      <c r="AA359" s="8">
        <v>46312</v>
      </c>
    </row>
    <row r="360" spans="1:27" ht="409.5" customHeight="1" x14ac:dyDescent="0.2">
      <c r="A360" s="5">
        <v>359</v>
      </c>
      <c r="B360" s="5">
        <v>328744011</v>
      </c>
      <c r="C360" s="5">
        <v>3</v>
      </c>
      <c r="D360" s="5" t="s">
        <v>349</v>
      </c>
      <c r="E360" s="5">
        <v>5</v>
      </c>
      <c r="F360" s="5" t="s">
        <v>358</v>
      </c>
      <c r="G360" s="5">
        <v>231</v>
      </c>
      <c r="H360" s="5">
        <f t="shared" si="10"/>
        <v>5.4424177105217932</v>
      </c>
      <c r="I360" s="5"/>
      <c r="J360" s="5">
        <v>1</v>
      </c>
      <c r="K360" s="5">
        <v>4</v>
      </c>
      <c r="L360" s="6">
        <f t="shared" si="11"/>
        <v>0.25</v>
      </c>
      <c r="M360" s="5"/>
      <c r="N360" s="5"/>
      <c r="O360" s="5">
        <v>0</v>
      </c>
      <c r="P360" s="5">
        <v>330000000</v>
      </c>
      <c r="Q360" s="7" t="s">
        <v>878</v>
      </c>
      <c r="R360" s="5" t="s">
        <v>37</v>
      </c>
      <c r="S360" s="5">
        <v>3</v>
      </c>
      <c r="T360" s="5">
        <v>3</v>
      </c>
      <c r="U360" s="5">
        <v>2.6</v>
      </c>
      <c r="V360" s="11" t="s">
        <v>52</v>
      </c>
      <c r="W360" s="5">
        <v>0</v>
      </c>
      <c r="X360" s="5">
        <v>0</v>
      </c>
      <c r="Y360" s="5" t="s">
        <v>879</v>
      </c>
      <c r="AA360" s="8">
        <v>46312</v>
      </c>
    </row>
    <row r="361" spans="1:27" ht="409.5" customHeight="1" x14ac:dyDescent="0.2">
      <c r="A361" s="5">
        <v>360</v>
      </c>
      <c r="B361" s="5">
        <v>330531905</v>
      </c>
      <c r="C361" s="5">
        <v>2</v>
      </c>
      <c r="D361" s="5" t="s">
        <v>349</v>
      </c>
      <c r="E361" s="5">
        <v>11</v>
      </c>
      <c r="F361" s="5" t="s">
        <v>880</v>
      </c>
      <c r="G361" s="5">
        <v>61</v>
      </c>
      <c r="H361" s="5">
        <f t="shared" si="10"/>
        <v>4.1108738641733114</v>
      </c>
      <c r="I361" s="5">
        <v>35</v>
      </c>
      <c r="J361" s="5">
        <v>4</v>
      </c>
      <c r="K361" s="5">
        <v>5</v>
      </c>
      <c r="L361" s="6">
        <f t="shared" si="11"/>
        <v>0.8</v>
      </c>
      <c r="M361" s="5" t="s">
        <v>28</v>
      </c>
      <c r="N361" s="5"/>
      <c r="O361" s="5">
        <v>0</v>
      </c>
      <c r="P361" s="5">
        <v>39800000</v>
      </c>
      <c r="Q361" s="7" t="s">
        <v>881</v>
      </c>
      <c r="R361" s="5" t="s">
        <v>30</v>
      </c>
      <c r="S361" s="5">
        <v>2</v>
      </c>
      <c r="T361" s="5">
        <v>1</v>
      </c>
      <c r="U361" s="5">
        <v>3</v>
      </c>
      <c r="V361" s="11" t="s">
        <v>38</v>
      </c>
      <c r="W361" s="5">
        <v>1</v>
      </c>
      <c r="X361" s="5">
        <v>0</v>
      </c>
      <c r="Y361" s="5" t="s">
        <v>882</v>
      </c>
      <c r="AA361" s="8">
        <v>46312</v>
      </c>
    </row>
    <row r="362" spans="1:27" ht="409.5" customHeight="1" x14ac:dyDescent="0.2">
      <c r="A362" s="5">
        <v>361</v>
      </c>
      <c r="B362" s="5">
        <v>333748799</v>
      </c>
      <c r="C362" s="5">
        <v>3</v>
      </c>
      <c r="D362" s="5" t="s">
        <v>349</v>
      </c>
      <c r="E362" s="5">
        <v>11</v>
      </c>
      <c r="F362" s="5" t="s">
        <v>883</v>
      </c>
      <c r="G362" s="5">
        <v>90</v>
      </c>
      <c r="H362" s="5">
        <f t="shared" si="10"/>
        <v>4.499809670330265</v>
      </c>
      <c r="I362" s="5">
        <v>70</v>
      </c>
      <c r="J362" s="5">
        <v>4</v>
      </c>
      <c r="K362" s="5">
        <v>4</v>
      </c>
      <c r="L362" s="6">
        <f t="shared" si="11"/>
        <v>1</v>
      </c>
      <c r="M362" s="5" t="s">
        <v>28</v>
      </c>
      <c r="N362" s="5" t="s">
        <v>67</v>
      </c>
      <c r="O362" s="5">
        <v>1</v>
      </c>
      <c r="P362" s="5">
        <v>59500000</v>
      </c>
      <c r="Q362" s="7" t="s">
        <v>884</v>
      </c>
      <c r="R362" s="5" t="s">
        <v>37</v>
      </c>
      <c r="S362" s="5">
        <v>3</v>
      </c>
      <c r="T362" s="5">
        <v>1</v>
      </c>
      <c r="U362" s="5">
        <v>3.3</v>
      </c>
      <c r="V362" s="11" t="s">
        <v>38</v>
      </c>
      <c r="W362" s="5">
        <v>1</v>
      </c>
      <c r="X362" s="5">
        <v>0</v>
      </c>
      <c r="Y362" s="5" t="s">
        <v>885</v>
      </c>
      <c r="AA362" s="8">
        <v>46312</v>
      </c>
    </row>
    <row r="363" spans="1:27" ht="409.5" customHeight="1" x14ac:dyDescent="0.2">
      <c r="A363" s="5">
        <v>362</v>
      </c>
      <c r="B363" s="5">
        <v>334665563</v>
      </c>
      <c r="C363" s="5">
        <v>3</v>
      </c>
      <c r="D363" s="5" t="s">
        <v>349</v>
      </c>
      <c r="E363" s="5">
        <v>12</v>
      </c>
      <c r="F363" s="5" t="s">
        <v>350</v>
      </c>
      <c r="G363" s="5">
        <v>129</v>
      </c>
      <c r="H363" s="5">
        <f t="shared" si="10"/>
        <v>4.8598124043616719</v>
      </c>
      <c r="I363" s="5">
        <v>58</v>
      </c>
      <c r="J363" s="5">
        <v>3</v>
      </c>
      <c r="K363" s="5">
        <v>5</v>
      </c>
      <c r="L363" s="6">
        <f t="shared" si="11"/>
        <v>0.6</v>
      </c>
      <c r="M363" s="5" t="s">
        <v>28</v>
      </c>
      <c r="N363" s="5" t="s">
        <v>35</v>
      </c>
      <c r="O363" s="5">
        <v>2</v>
      </c>
      <c r="P363" s="5">
        <v>157000000</v>
      </c>
      <c r="Q363" s="7" t="s">
        <v>886</v>
      </c>
      <c r="R363" s="5" t="s">
        <v>37</v>
      </c>
      <c r="S363" s="5">
        <v>3</v>
      </c>
      <c r="T363" s="5">
        <v>3</v>
      </c>
      <c r="U363" s="5">
        <v>3</v>
      </c>
      <c r="V363" s="11" t="s">
        <v>38</v>
      </c>
      <c r="W363" s="5">
        <v>1</v>
      </c>
      <c r="X363" s="5">
        <v>0</v>
      </c>
      <c r="Y363" s="5" t="s">
        <v>887</v>
      </c>
      <c r="AA363" s="8">
        <v>46312</v>
      </c>
    </row>
    <row r="364" spans="1:27" ht="409.5" customHeight="1" x14ac:dyDescent="0.2">
      <c r="A364" s="5">
        <v>363</v>
      </c>
      <c r="B364" s="5">
        <v>334532701</v>
      </c>
      <c r="C364" s="5">
        <v>3</v>
      </c>
      <c r="D364" s="5" t="s">
        <v>349</v>
      </c>
      <c r="E364" s="5">
        <v>12</v>
      </c>
      <c r="F364" s="5" t="s">
        <v>350</v>
      </c>
      <c r="G364" s="5">
        <v>110</v>
      </c>
      <c r="H364" s="5">
        <f t="shared" si="10"/>
        <v>4.7004803657924166</v>
      </c>
      <c r="I364" s="5">
        <v>33</v>
      </c>
      <c r="J364" s="5">
        <v>3</v>
      </c>
      <c r="K364" s="5">
        <v>5</v>
      </c>
      <c r="L364" s="6">
        <f t="shared" si="11"/>
        <v>0.6</v>
      </c>
      <c r="M364" s="5" t="s">
        <v>28</v>
      </c>
      <c r="N364" s="5" t="s">
        <v>35</v>
      </c>
      <c r="O364" s="5">
        <v>2</v>
      </c>
      <c r="P364" s="5">
        <v>145000000</v>
      </c>
      <c r="Q364" s="7" t="s">
        <v>888</v>
      </c>
      <c r="R364" s="5" t="s">
        <v>37</v>
      </c>
      <c r="S364" s="5">
        <v>3</v>
      </c>
      <c r="T364" s="5">
        <v>2</v>
      </c>
      <c r="U364" s="5">
        <v>3</v>
      </c>
      <c r="V364" s="11" t="s">
        <v>38</v>
      </c>
      <c r="W364" s="5">
        <v>1</v>
      </c>
      <c r="X364" s="5">
        <v>0</v>
      </c>
      <c r="Y364" s="5" t="s">
        <v>889</v>
      </c>
      <c r="AA364" s="8">
        <v>46312</v>
      </c>
    </row>
    <row r="365" spans="1:27" ht="409.5" customHeight="1" x14ac:dyDescent="0.2">
      <c r="A365" s="5">
        <v>364</v>
      </c>
      <c r="B365" s="5">
        <v>334520517</v>
      </c>
      <c r="C365" s="5">
        <v>6</v>
      </c>
      <c r="D365" s="5" t="s">
        <v>349</v>
      </c>
      <c r="E365" s="5">
        <v>7</v>
      </c>
      <c r="F365" s="5" t="s">
        <v>361</v>
      </c>
      <c r="G365" s="5">
        <v>137</v>
      </c>
      <c r="H365" s="5">
        <f t="shared" si="10"/>
        <v>4.9199809258281251</v>
      </c>
      <c r="I365" s="5">
        <v>95</v>
      </c>
      <c r="J365" s="5">
        <v>2</v>
      </c>
      <c r="K365" s="5">
        <v>4</v>
      </c>
      <c r="L365" s="6">
        <f t="shared" si="11"/>
        <v>0.5</v>
      </c>
      <c r="M365" s="5" t="s">
        <v>28</v>
      </c>
      <c r="N365" s="5" t="s">
        <v>67</v>
      </c>
      <c r="O365" s="5">
        <v>1</v>
      </c>
      <c r="P365" s="5">
        <v>118000000</v>
      </c>
      <c r="Q365" s="7" t="s">
        <v>890</v>
      </c>
      <c r="R365" s="5" t="s">
        <v>37</v>
      </c>
      <c r="S365" s="5">
        <v>3</v>
      </c>
      <c r="T365" s="5">
        <v>2</v>
      </c>
      <c r="U365" s="5">
        <v>3.4</v>
      </c>
      <c r="V365" s="11" t="s">
        <v>38</v>
      </c>
      <c r="W365" s="5">
        <v>1</v>
      </c>
      <c r="X365" s="5">
        <v>0</v>
      </c>
      <c r="Y365" s="5" t="s">
        <v>891</v>
      </c>
      <c r="AA365" s="8">
        <v>46312</v>
      </c>
    </row>
    <row r="366" spans="1:27" ht="409.5" customHeight="1" x14ac:dyDescent="0.2">
      <c r="A366" s="5">
        <v>365</v>
      </c>
      <c r="B366" s="5">
        <v>334549223</v>
      </c>
      <c r="C366" s="5">
        <v>4</v>
      </c>
      <c r="D366" s="5" t="s">
        <v>349</v>
      </c>
      <c r="E366" s="5">
        <v>9</v>
      </c>
      <c r="F366" s="5" t="s">
        <v>892</v>
      </c>
      <c r="G366" s="5">
        <v>85.7</v>
      </c>
      <c r="H366" s="5">
        <f t="shared" si="10"/>
        <v>4.4508528256037341</v>
      </c>
      <c r="I366" s="5">
        <v>61.3</v>
      </c>
      <c r="J366" s="5">
        <v>5</v>
      </c>
      <c r="K366" s="5">
        <v>5</v>
      </c>
      <c r="L366" s="6">
        <f t="shared" si="11"/>
        <v>1</v>
      </c>
      <c r="M366" s="5" t="s">
        <v>28</v>
      </c>
      <c r="N366" s="5" t="s">
        <v>61</v>
      </c>
      <c r="O366" s="5">
        <v>1</v>
      </c>
      <c r="P366" s="5">
        <v>53500000</v>
      </c>
      <c r="Q366" s="7" t="s">
        <v>893</v>
      </c>
      <c r="R366" s="5" t="s">
        <v>37</v>
      </c>
      <c r="S366" s="5">
        <v>3</v>
      </c>
      <c r="T366" s="5">
        <v>1</v>
      </c>
      <c r="U366" s="5">
        <v>3</v>
      </c>
      <c r="V366" s="11" t="s">
        <v>38</v>
      </c>
      <c r="W366" s="5">
        <v>1</v>
      </c>
      <c r="X366" s="5">
        <v>0</v>
      </c>
      <c r="Y366" s="5" t="s">
        <v>894</v>
      </c>
      <c r="AA366" s="8">
        <v>46312</v>
      </c>
    </row>
    <row r="367" spans="1:27" ht="409.5" customHeight="1" x14ac:dyDescent="0.2">
      <c r="A367" s="5">
        <v>366</v>
      </c>
      <c r="B367" s="5">
        <v>334417883</v>
      </c>
      <c r="C367" s="5">
        <v>6</v>
      </c>
      <c r="D367" s="5" t="s">
        <v>349</v>
      </c>
      <c r="E367" s="5">
        <v>6</v>
      </c>
      <c r="F367" s="5" t="s">
        <v>361</v>
      </c>
      <c r="G367" s="5">
        <v>140</v>
      </c>
      <c r="H367" s="5">
        <f t="shared" si="10"/>
        <v>4.9416424226093039</v>
      </c>
      <c r="I367" s="5">
        <v>120</v>
      </c>
      <c r="J367" s="5">
        <v>2</v>
      </c>
      <c r="K367" s="5">
        <v>4</v>
      </c>
      <c r="L367" s="6">
        <f t="shared" si="11"/>
        <v>0.5</v>
      </c>
      <c r="M367" s="5"/>
      <c r="N367" s="5"/>
      <c r="O367" s="5">
        <v>0</v>
      </c>
      <c r="P367" s="5">
        <v>118000000</v>
      </c>
      <c r="Q367" s="7" t="s">
        <v>895</v>
      </c>
      <c r="R367" s="5" t="s">
        <v>30</v>
      </c>
      <c r="S367" s="5">
        <v>2</v>
      </c>
      <c r="T367" s="5">
        <v>3</v>
      </c>
      <c r="U367" s="5">
        <v>3.4</v>
      </c>
      <c r="V367" s="11" t="s">
        <v>38</v>
      </c>
      <c r="W367" s="5">
        <v>1</v>
      </c>
      <c r="X367" s="5">
        <v>0</v>
      </c>
      <c r="Y367" s="5" t="s">
        <v>896</v>
      </c>
      <c r="AA367" s="8">
        <v>46312</v>
      </c>
    </row>
    <row r="368" spans="1:27" ht="409.5" customHeight="1" x14ac:dyDescent="0.2">
      <c r="A368" s="5">
        <v>367</v>
      </c>
      <c r="B368" s="5">
        <v>332858540</v>
      </c>
      <c r="C368" s="5">
        <v>5</v>
      </c>
      <c r="D368" s="5" t="s">
        <v>349</v>
      </c>
      <c r="E368" s="5">
        <v>5</v>
      </c>
      <c r="F368" s="5" t="s">
        <v>393</v>
      </c>
      <c r="G368" s="5">
        <v>132</v>
      </c>
      <c r="H368" s="5">
        <f t="shared" si="10"/>
        <v>4.8828019225863706</v>
      </c>
      <c r="I368" s="5">
        <v>90</v>
      </c>
      <c r="J368" s="5">
        <v>3</v>
      </c>
      <c r="K368" s="5">
        <v>6</v>
      </c>
      <c r="L368" s="6">
        <f t="shared" si="11"/>
        <v>0.5</v>
      </c>
      <c r="M368" s="5"/>
      <c r="N368" s="5" t="s">
        <v>61</v>
      </c>
      <c r="O368" s="5">
        <v>1</v>
      </c>
      <c r="P368" s="5">
        <v>86000000</v>
      </c>
      <c r="Q368" s="7" t="s">
        <v>897</v>
      </c>
      <c r="R368" s="5" t="s">
        <v>37</v>
      </c>
      <c r="S368" s="5">
        <v>3</v>
      </c>
      <c r="T368" s="5">
        <v>2</v>
      </c>
      <c r="U368" s="5">
        <v>3.6</v>
      </c>
      <c r="V368" s="11" t="s">
        <v>31</v>
      </c>
      <c r="W368" s="5">
        <v>2</v>
      </c>
      <c r="X368" s="5">
        <v>0</v>
      </c>
      <c r="Y368" s="5" t="s">
        <v>898</v>
      </c>
      <c r="AA368" s="8">
        <v>46312</v>
      </c>
    </row>
    <row r="369" spans="1:27" ht="409.5" customHeight="1" x14ac:dyDescent="0.2">
      <c r="A369" s="5">
        <v>368</v>
      </c>
      <c r="B369" s="5">
        <v>330243352</v>
      </c>
      <c r="C369" s="5">
        <v>3</v>
      </c>
      <c r="D369" s="5" t="s">
        <v>349</v>
      </c>
      <c r="E369" s="5">
        <v>6</v>
      </c>
      <c r="F369" s="5" t="s">
        <v>899</v>
      </c>
      <c r="G369" s="5">
        <v>86.2</v>
      </c>
      <c r="H369" s="5">
        <f t="shared" si="10"/>
        <v>4.4566701776696478</v>
      </c>
      <c r="I369" s="5">
        <v>57</v>
      </c>
      <c r="J369" s="5">
        <v>2</v>
      </c>
      <c r="K369" s="5">
        <v>7</v>
      </c>
      <c r="L369" s="6">
        <f t="shared" si="11"/>
        <v>0.2857142857142857</v>
      </c>
      <c r="M369" s="5" t="s">
        <v>28</v>
      </c>
      <c r="N369" s="5" t="s">
        <v>61</v>
      </c>
      <c r="O369" s="5">
        <v>1</v>
      </c>
      <c r="P369" s="5">
        <v>45000000</v>
      </c>
      <c r="Q369" s="7" t="s">
        <v>900</v>
      </c>
      <c r="R369" s="5" t="s">
        <v>107</v>
      </c>
      <c r="S369" s="5">
        <v>1</v>
      </c>
      <c r="T369" s="5">
        <v>1</v>
      </c>
      <c r="U369" s="5">
        <v>2.9</v>
      </c>
      <c r="V369" s="11" t="s">
        <v>52</v>
      </c>
      <c r="W369" s="5">
        <v>0</v>
      </c>
      <c r="X369" s="5">
        <v>0</v>
      </c>
      <c r="Y369" s="5" t="s">
        <v>901</v>
      </c>
      <c r="AA369" s="8">
        <v>46312</v>
      </c>
    </row>
    <row r="370" spans="1:27" ht="409.5" customHeight="1" x14ac:dyDescent="0.2">
      <c r="A370" s="5">
        <v>369</v>
      </c>
      <c r="B370" s="5">
        <v>335037140</v>
      </c>
      <c r="C370" s="5">
        <v>3</v>
      </c>
      <c r="D370" s="5" t="s">
        <v>902</v>
      </c>
      <c r="E370" s="5">
        <v>11</v>
      </c>
      <c r="F370" s="5" t="s">
        <v>903</v>
      </c>
      <c r="G370" s="5">
        <v>78.2</v>
      </c>
      <c r="H370" s="5">
        <f t="shared" si="10"/>
        <v>4.3592696475512653</v>
      </c>
      <c r="I370" s="5">
        <v>42</v>
      </c>
      <c r="J370" s="5">
        <v>6</v>
      </c>
      <c r="K370" s="5">
        <v>6</v>
      </c>
      <c r="L370" s="6">
        <f t="shared" si="11"/>
        <v>1</v>
      </c>
      <c r="M370" s="5" t="s">
        <v>904</v>
      </c>
      <c r="N370" s="5"/>
      <c r="O370" s="5">
        <v>0</v>
      </c>
      <c r="P370" s="5">
        <v>115000000</v>
      </c>
      <c r="Q370" s="7" t="s">
        <v>905</v>
      </c>
      <c r="R370" s="5" t="s">
        <v>37</v>
      </c>
      <c r="S370" s="5">
        <v>3</v>
      </c>
      <c r="T370" s="5"/>
      <c r="U370" s="5">
        <v>3.4</v>
      </c>
      <c r="V370" s="11" t="s">
        <v>38</v>
      </c>
      <c r="W370" s="5">
        <v>1</v>
      </c>
      <c r="X370" s="5">
        <v>0</v>
      </c>
      <c r="Y370" s="5" t="s">
        <v>906</v>
      </c>
      <c r="AA370" s="8">
        <v>46312</v>
      </c>
    </row>
    <row r="371" spans="1:27" ht="409.5" customHeight="1" x14ac:dyDescent="0.2">
      <c r="A371" s="5">
        <v>370</v>
      </c>
      <c r="B371" s="5">
        <v>334154967</v>
      </c>
      <c r="C371" s="5">
        <v>0</v>
      </c>
      <c r="D371" s="5" t="s">
        <v>907</v>
      </c>
      <c r="E371" s="5">
        <v>9</v>
      </c>
      <c r="F371" s="5" t="s">
        <v>425</v>
      </c>
      <c r="G371" s="5">
        <v>21</v>
      </c>
      <c r="H371" s="5">
        <f t="shared" si="10"/>
        <v>3.044522437723423</v>
      </c>
      <c r="I371" s="5">
        <v>10</v>
      </c>
      <c r="J371" s="5">
        <v>3</v>
      </c>
      <c r="K371" s="5">
        <v>7</v>
      </c>
      <c r="L371" s="6">
        <f t="shared" si="11"/>
        <v>0.42857142857142855</v>
      </c>
      <c r="M371" s="5" t="s">
        <v>28</v>
      </c>
      <c r="N371" s="5"/>
      <c r="O371" s="5">
        <v>0</v>
      </c>
      <c r="P371" s="5">
        <v>17200000</v>
      </c>
      <c r="Q371" s="7" t="s">
        <v>908</v>
      </c>
      <c r="R371" s="5" t="s">
        <v>30</v>
      </c>
      <c r="S371" s="5">
        <v>2</v>
      </c>
      <c r="T371" s="5">
        <v>1</v>
      </c>
      <c r="U371" s="5"/>
      <c r="V371" s="5"/>
      <c r="W371" s="5"/>
      <c r="X371" s="5">
        <v>0</v>
      </c>
      <c r="Y371" s="5" t="s">
        <v>909</v>
      </c>
      <c r="AA371" s="8">
        <v>46312</v>
      </c>
    </row>
    <row r="372" spans="1:27" ht="409.5" customHeight="1" x14ac:dyDescent="0.2">
      <c r="A372" s="5">
        <v>371</v>
      </c>
      <c r="B372" s="5">
        <v>330542523</v>
      </c>
      <c r="C372" s="5">
        <v>3</v>
      </c>
      <c r="D372" s="5" t="s">
        <v>349</v>
      </c>
      <c r="E372" s="5">
        <v>6</v>
      </c>
      <c r="F372" s="5" t="s">
        <v>910</v>
      </c>
      <c r="G372" s="5">
        <v>130</v>
      </c>
      <c r="H372" s="5">
        <f t="shared" si="10"/>
        <v>4.8675344504555822</v>
      </c>
      <c r="I372" s="5">
        <v>68</v>
      </c>
      <c r="J372" s="5">
        <v>1</v>
      </c>
      <c r="K372" s="5">
        <v>5</v>
      </c>
      <c r="L372" s="6">
        <f t="shared" si="11"/>
        <v>0.2</v>
      </c>
      <c r="M372" s="5" t="s">
        <v>28</v>
      </c>
      <c r="N372" s="5" t="s">
        <v>61</v>
      </c>
      <c r="O372" s="5">
        <v>1</v>
      </c>
      <c r="P372" s="5">
        <v>85000000</v>
      </c>
      <c r="Q372" s="7" t="s">
        <v>911</v>
      </c>
      <c r="R372" s="5" t="s">
        <v>37</v>
      </c>
      <c r="S372" s="5">
        <v>3</v>
      </c>
      <c r="T372" s="5">
        <v>2</v>
      </c>
      <c r="U372" s="5">
        <v>3.5</v>
      </c>
      <c r="V372" s="11" t="s">
        <v>38</v>
      </c>
      <c r="W372" s="5">
        <v>1</v>
      </c>
      <c r="X372" s="5">
        <v>0</v>
      </c>
      <c r="Y372" s="5" t="s">
        <v>912</v>
      </c>
      <c r="AA372" s="8">
        <v>46312</v>
      </c>
    </row>
    <row r="373" spans="1:27" ht="409.5" customHeight="1" x14ac:dyDescent="0.2">
      <c r="A373" s="5">
        <v>372</v>
      </c>
      <c r="B373" s="5">
        <v>330961066</v>
      </c>
      <c r="C373" s="5">
        <v>3</v>
      </c>
      <c r="D373" s="5" t="s">
        <v>349</v>
      </c>
      <c r="E373" s="5">
        <v>6</v>
      </c>
      <c r="F373" s="5" t="s">
        <v>910</v>
      </c>
      <c r="G373" s="5">
        <v>135</v>
      </c>
      <c r="H373" s="5">
        <f t="shared" si="10"/>
        <v>4.9052747784384296</v>
      </c>
      <c r="I373" s="5">
        <v>68.7</v>
      </c>
      <c r="J373" s="5">
        <v>5</v>
      </c>
      <c r="K373" s="5">
        <v>5</v>
      </c>
      <c r="L373" s="6">
        <f t="shared" si="11"/>
        <v>1</v>
      </c>
      <c r="M373" s="5" t="s">
        <v>28</v>
      </c>
      <c r="N373" s="5"/>
      <c r="O373" s="5">
        <v>0</v>
      </c>
      <c r="P373" s="5">
        <v>90000000</v>
      </c>
      <c r="Q373" s="7" t="s">
        <v>913</v>
      </c>
      <c r="R373" s="5" t="s">
        <v>37</v>
      </c>
      <c r="S373" s="5">
        <v>3</v>
      </c>
      <c r="T373" s="5">
        <v>2</v>
      </c>
      <c r="U373" s="5">
        <v>3.2</v>
      </c>
      <c r="V373" s="11" t="s">
        <v>38</v>
      </c>
      <c r="W373" s="5">
        <v>1</v>
      </c>
      <c r="X373" s="5">
        <v>0</v>
      </c>
      <c r="Y373" s="5" t="s">
        <v>914</v>
      </c>
      <c r="AA373" s="8">
        <v>46312</v>
      </c>
    </row>
    <row r="374" spans="1:27" ht="409.5" customHeight="1" x14ac:dyDescent="0.2">
      <c r="A374" s="5">
        <v>373</v>
      </c>
      <c r="B374" s="5">
        <v>332586242</v>
      </c>
      <c r="C374" s="5">
        <v>3</v>
      </c>
      <c r="D374" s="5" t="s">
        <v>349</v>
      </c>
      <c r="E374" s="5">
        <v>5</v>
      </c>
      <c r="F374" s="5" t="s">
        <v>358</v>
      </c>
      <c r="G374" s="5">
        <v>106.8</v>
      </c>
      <c r="H374" s="5">
        <f t="shared" si="10"/>
        <v>4.6709579265260945</v>
      </c>
      <c r="I374" s="5">
        <v>60</v>
      </c>
      <c r="J374" s="5">
        <v>3</v>
      </c>
      <c r="K374" s="5">
        <v>4</v>
      </c>
      <c r="L374" s="6">
        <f t="shared" si="11"/>
        <v>0.75</v>
      </c>
      <c r="M374" s="5" t="s">
        <v>28</v>
      </c>
      <c r="N374" s="5" t="s">
        <v>67</v>
      </c>
      <c r="O374" s="5">
        <v>1</v>
      </c>
      <c r="P374" s="5">
        <v>225000000</v>
      </c>
      <c r="Q374" s="7" t="s">
        <v>915</v>
      </c>
      <c r="R374" s="5" t="s">
        <v>30</v>
      </c>
      <c r="S374" s="5">
        <v>2</v>
      </c>
      <c r="T374" s="5">
        <v>3</v>
      </c>
      <c r="U374" s="5">
        <v>4.5</v>
      </c>
      <c r="V374" s="11" t="s">
        <v>31</v>
      </c>
      <c r="W374" s="5">
        <v>2</v>
      </c>
      <c r="X374" s="5">
        <v>0</v>
      </c>
      <c r="Y374" s="5" t="s">
        <v>916</v>
      </c>
      <c r="AA374" s="8">
        <v>46312</v>
      </c>
    </row>
    <row r="375" spans="1:27" ht="409.5" customHeight="1" x14ac:dyDescent="0.2">
      <c r="A375" s="5">
        <v>374</v>
      </c>
      <c r="B375" s="5">
        <v>334333952</v>
      </c>
      <c r="C375" s="5">
        <v>0</v>
      </c>
      <c r="D375" s="5" t="s">
        <v>349</v>
      </c>
      <c r="E375" s="5">
        <v>5</v>
      </c>
      <c r="F375" s="5" t="s">
        <v>370</v>
      </c>
      <c r="G375" s="5">
        <v>20.350000000000001</v>
      </c>
      <c r="H375" s="5">
        <f t="shared" si="10"/>
        <v>3.0130809118886042</v>
      </c>
      <c r="I375" s="5">
        <v>11</v>
      </c>
      <c r="J375" s="5">
        <v>3</v>
      </c>
      <c r="K375" s="5">
        <v>8</v>
      </c>
      <c r="L375" s="6">
        <f t="shared" si="11"/>
        <v>0.375</v>
      </c>
      <c r="M375" s="5"/>
      <c r="N375" s="5" t="s">
        <v>61</v>
      </c>
      <c r="O375" s="5">
        <v>1</v>
      </c>
      <c r="P375" s="5">
        <v>17000000</v>
      </c>
      <c r="Q375" s="7" t="s">
        <v>917</v>
      </c>
      <c r="R375" s="5" t="s">
        <v>37</v>
      </c>
      <c r="S375" s="5">
        <v>3</v>
      </c>
      <c r="T375" s="5">
        <v>1</v>
      </c>
      <c r="U375" s="5">
        <v>3.7</v>
      </c>
      <c r="V375" s="11" t="s">
        <v>31</v>
      </c>
      <c r="W375" s="5">
        <v>2</v>
      </c>
      <c r="X375" s="5">
        <v>0</v>
      </c>
      <c r="Y375" s="5" t="s">
        <v>918</v>
      </c>
      <c r="AA375" s="8">
        <v>46312</v>
      </c>
    </row>
    <row r="376" spans="1:27" ht="409.5" customHeight="1" x14ac:dyDescent="0.2">
      <c r="A376" s="5">
        <v>375</v>
      </c>
      <c r="B376" s="5">
        <v>335000023</v>
      </c>
      <c r="C376" s="5">
        <v>3</v>
      </c>
      <c r="D376" s="5" t="s">
        <v>349</v>
      </c>
      <c r="E376" s="5">
        <v>9</v>
      </c>
      <c r="F376" s="5" t="s">
        <v>873</v>
      </c>
      <c r="G376" s="5">
        <v>56.4</v>
      </c>
      <c r="H376" s="5">
        <f t="shared" si="10"/>
        <v>4.0324691585040133</v>
      </c>
      <c r="I376" s="5">
        <v>37.9</v>
      </c>
      <c r="J376" s="5">
        <v>5</v>
      </c>
      <c r="K376" s="5">
        <v>9</v>
      </c>
      <c r="L376" s="6">
        <f t="shared" si="11"/>
        <v>0.55555555555555558</v>
      </c>
      <c r="M376" s="5" t="s">
        <v>28</v>
      </c>
      <c r="N376" s="5"/>
      <c r="O376" s="5">
        <v>0</v>
      </c>
      <c r="P376" s="5">
        <v>39000000</v>
      </c>
      <c r="Q376" s="7" t="s">
        <v>919</v>
      </c>
      <c r="R376" s="5" t="s">
        <v>37</v>
      </c>
      <c r="S376" s="5">
        <v>3</v>
      </c>
      <c r="T376" s="5">
        <v>1</v>
      </c>
      <c r="U376" s="5"/>
      <c r="V376" s="5"/>
      <c r="W376" s="5"/>
      <c r="X376" s="5">
        <v>0</v>
      </c>
      <c r="Y376" s="5" t="s">
        <v>920</v>
      </c>
      <c r="AA376" s="8">
        <v>46312</v>
      </c>
    </row>
    <row r="377" spans="1:27" ht="409.5" customHeight="1" x14ac:dyDescent="0.2">
      <c r="A377" s="5">
        <v>376</v>
      </c>
      <c r="B377" s="5">
        <v>334857043</v>
      </c>
      <c r="C377" s="5">
        <v>5</v>
      </c>
      <c r="D377" s="5" t="s">
        <v>349</v>
      </c>
      <c r="E377" s="5">
        <v>5</v>
      </c>
      <c r="F377" s="5" t="s">
        <v>393</v>
      </c>
      <c r="G377" s="5">
        <v>131.19999999999999</v>
      </c>
      <c r="H377" s="5">
        <f t="shared" si="10"/>
        <v>4.8767228765099881</v>
      </c>
      <c r="I377" s="5">
        <v>101</v>
      </c>
      <c r="J377" s="5">
        <v>2</v>
      </c>
      <c r="K377" s="5">
        <v>6</v>
      </c>
      <c r="L377" s="6">
        <f t="shared" si="11"/>
        <v>0.33333333333333331</v>
      </c>
      <c r="M377" s="5"/>
      <c r="N377" s="5" t="s">
        <v>61</v>
      </c>
      <c r="O377" s="5">
        <v>1</v>
      </c>
      <c r="P377" s="5">
        <v>93000000</v>
      </c>
      <c r="Q377" s="7" t="s">
        <v>921</v>
      </c>
      <c r="R377" s="5" t="s">
        <v>30</v>
      </c>
      <c r="S377" s="5">
        <v>2</v>
      </c>
      <c r="T377" s="5">
        <v>2</v>
      </c>
      <c r="U377" s="5">
        <v>3.6</v>
      </c>
      <c r="V377" s="11" t="s">
        <v>31</v>
      </c>
      <c r="W377" s="5">
        <v>2</v>
      </c>
      <c r="X377" s="5">
        <v>0</v>
      </c>
      <c r="Y377" s="5" t="s">
        <v>922</v>
      </c>
      <c r="AA377" s="8">
        <v>46312</v>
      </c>
    </row>
    <row r="378" spans="1:27" ht="409.5" customHeight="1" x14ac:dyDescent="0.2">
      <c r="A378" s="5">
        <v>377</v>
      </c>
      <c r="B378" s="5">
        <v>331813339</v>
      </c>
      <c r="C378" s="5">
        <v>4</v>
      </c>
      <c r="D378" s="5" t="s">
        <v>349</v>
      </c>
      <c r="E378" s="5">
        <v>5</v>
      </c>
      <c r="F378" s="5" t="s">
        <v>358</v>
      </c>
      <c r="G378" s="5">
        <v>200.6</v>
      </c>
      <c r="H378" s="5">
        <f t="shared" si="10"/>
        <v>5.3013128755278354</v>
      </c>
      <c r="I378" s="5"/>
      <c r="J378" s="5">
        <v>2</v>
      </c>
      <c r="K378" s="5">
        <v>4</v>
      </c>
      <c r="L378" s="6">
        <f t="shared" si="11"/>
        <v>0.5</v>
      </c>
      <c r="M378" s="5" t="s">
        <v>44</v>
      </c>
      <c r="N378" s="5"/>
      <c r="O378" s="5">
        <v>0</v>
      </c>
      <c r="P378" s="5">
        <v>459000000</v>
      </c>
      <c r="Q378" s="7" t="s">
        <v>923</v>
      </c>
      <c r="R378" s="5" t="s">
        <v>37</v>
      </c>
      <c r="S378" s="5">
        <v>3</v>
      </c>
      <c r="T378" s="5">
        <v>4</v>
      </c>
      <c r="U378" s="5">
        <v>4.1500000000000004</v>
      </c>
      <c r="V378" s="11" t="s">
        <v>31</v>
      </c>
      <c r="W378" s="5">
        <v>2</v>
      </c>
      <c r="X378" s="5">
        <v>0</v>
      </c>
      <c r="Y378" s="5" t="s">
        <v>924</v>
      </c>
      <c r="AA378" s="8">
        <v>46312</v>
      </c>
    </row>
    <row r="379" spans="1:27" ht="409.5" customHeight="1" x14ac:dyDescent="0.2">
      <c r="A379" s="5">
        <v>378</v>
      </c>
      <c r="B379" s="5">
        <v>334880947</v>
      </c>
      <c r="C379" s="5">
        <v>6</v>
      </c>
      <c r="D379" s="5" t="s">
        <v>349</v>
      </c>
      <c r="E379" s="5">
        <v>3</v>
      </c>
      <c r="F379" s="5" t="s">
        <v>379</v>
      </c>
      <c r="G379" s="5">
        <v>213.7</v>
      </c>
      <c r="H379" s="5">
        <f t="shared" si="10"/>
        <v>5.3645731623251018</v>
      </c>
      <c r="I379" s="5">
        <v>139.4</v>
      </c>
      <c r="J379" s="5">
        <v>5</v>
      </c>
      <c r="K379" s="5">
        <v>6</v>
      </c>
      <c r="L379" s="6">
        <f t="shared" si="11"/>
        <v>0.83333333333333337</v>
      </c>
      <c r="M379" s="5"/>
      <c r="N379" s="5" t="s">
        <v>61</v>
      </c>
      <c r="O379" s="5">
        <v>1</v>
      </c>
      <c r="P379" s="5">
        <v>240000000</v>
      </c>
      <c r="Q379" s="7" t="s">
        <v>925</v>
      </c>
      <c r="R379" s="5" t="s">
        <v>37</v>
      </c>
      <c r="S379" s="5">
        <v>3</v>
      </c>
      <c r="T379" s="5">
        <v>2</v>
      </c>
      <c r="U379" s="5">
        <v>4.2</v>
      </c>
      <c r="V379" s="11" t="s">
        <v>31</v>
      </c>
      <c r="W379" s="5">
        <v>2</v>
      </c>
      <c r="X379" s="5">
        <v>0</v>
      </c>
      <c r="Y379" s="5" t="s">
        <v>926</v>
      </c>
      <c r="AA379" s="8">
        <v>46312</v>
      </c>
    </row>
    <row r="380" spans="1:27" ht="409.5" customHeight="1" x14ac:dyDescent="0.2">
      <c r="A380" s="5">
        <v>379</v>
      </c>
      <c r="B380" s="5">
        <v>333058544</v>
      </c>
      <c r="C380" s="5">
        <v>3</v>
      </c>
      <c r="D380" s="5" t="s">
        <v>349</v>
      </c>
      <c r="E380" s="5">
        <v>10</v>
      </c>
      <c r="F380" s="5" t="s">
        <v>390</v>
      </c>
      <c r="G380" s="5">
        <v>58.6</v>
      </c>
      <c r="H380" s="5">
        <f t="shared" si="10"/>
        <v>4.0707346965829672</v>
      </c>
      <c r="I380" s="5">
        <v>23</v>
      </c>
      <c r="J380" s="5">
        <v>1</v>
      </c>
      <c r="K380" s="5">
        <v>4</v>
      </c>
      <c r="L380" s="6">
        <f t="shared" si="11"/>
        <v>0.25</v>
      </c>
      <c r="M380" s="5" t="s">
        <v>28</v>
      </c>
      <c r="N380" s="5"/>
      <c r="O380" s="5">
        <v>0</v>
      </c>
      <c r="P380" s="5">
        <v>49000000</v>
      </c>
      <c r="Q380" s="7" t="s">
        <v>927</v>
      </c>
      <c r="R380" s="5" t="s">
        <v>37</v>
      </c>
      <c r="S380" s="5">
        <v>3</v>
      </c>
      <c r="T380" s="5">
        <v>1</v>
      </c>
      <c r="U380" s="5">
        <v>3</v>
      </c>
      <c r="V380" s="11" t="s">
        <v>38</v>
      </c>
      <c r="W380" s="5">
        <v>1</v>
      </c>
      <c r="X380" s="5">
        <v>0</v>
      </c>
      <c r="Y380" s="5" t="s">
        <v>928</v>
      </c>
      <c r="AA380" s="8">
        <v>46312</v>
      </c>
    </row>
    <row r="381" spans="1:27" ht="409.5" customHeight="1" x14ac:dyDescent="0.2">
      <c r="A381" s="5">
        <v>380</v>
      </c>
      <c r="B381" s="5">
        <v>327598141</v>
      </c>
      <c r="C381" s="5">
        <v>5</v>
      </c>
      <c r="D381" s="5" t="s">
        <v>349</v>
      </c>
      <c r="E381" s="5">
        <v>5</v>
      </c>
      <c r="F381" s="5" t="s">
        <v>367</v>
      </c>
      <c r="G381" s="5">
        <v>237.8</v>
      </c>
      <c r="H381" s="5">
        <f t="shared" si="10"/>
        <v>5.4714299842566811</v>
      </c>
      <c r="I381" s="5">
        <v>132</v>
      </c>
      <c r="J381" s="5">
        <v>4</v>
      </c>
      <c r="K381" s="5">
        <v>6</v>
      </c>
      <c r="L381" s="6">
        <f t="shared" si="11"/>
        <v>0.66666666666666663</v>
      </c>
      <c r="M381" s="5" t="s">
        <v>28</v>
      </c>
      <c r="N381" s="5" t="s">
        <v>61</v>
      </c>
      <c r="O381" s="5">
        <v>1</v>
      </c>
      <c r="P381" s="5">
        <v>205000000</v>
      </c>
      <c r="Q381" s="7" t="s">
        <v>929</v>
      </c>
      <c r="R381" s="5" t="s">
        <v>37</v>
      </c>
      <c r="S381" s="5">
        <v>3</v>
      </c>
      <c r="T381" s="5">
        <v>4</v>
      </c>
      <c r="U381" s="5">
        <v>3.7</v>
      </c>
      <c r="V381" s="11" t="s">
        <v>31</v>
      </c>
      <c r="W381" s="5">
        <v>2</v>
      </c>
      <c r="X381" s="5">
        <v>0</v>
      </c>
      <c r="Y381" s="5" t="s">
        <v>930</v>
      </c>
      <c r="AA381" s="8">
        <v>46312</v>
      </c>
    </row>
    <row r="382" spans="1:27" ht="409.5" customHeight="1" x14ac:dyDescent="0.2">
      <c r="A382" s="5">
        <v>381</v>
      </c>
      <c r="B382" s="5">
        <v>333142329</v>
      </c>
      <c r="C382" s="5">
        <v>1</v>
      </c>
      <c r="D382" s="5" t="s">
        <v>349</v>
      </c>
      <c r="E382" s="5">
        <v>3</v>
      </c>
      <c r="F382" s="5" t="s">
        <v>387</v>
      </c>
      <c r="G382" s="5">
        <v>34.1</v>
      </c>
      <c r="H382" s="5">
        <f t="shared" si="10"/>
        <v>3.529297384289471</v>
      </c>
      <c r="I382" s="5">
        <v>24</v>
      </c>
      <c r="J382" s="5">
        <v>2</v>
      </c>
      <c r="K382" s="5">
        <v>2</v>
      </c>
      <c r="L382" s="6">
        <f t="shared" si="11"/>
        <v>1</v>
      </c>
      <c r="M382" s="5" t="s">
        <v>28</v>
      </c>
      <c r="N382" s="5"/>
      <c r="O382" s="5">
        <v>0</v>
      </c>
      <c r="P382" s="5">
        <v>22300000</v>
      </c>
      <c r="Q382" s="7" t="s">
        <v>931</v>
      </c>
      <c r="R382" s="5" t="s">
        <v>107</v>
      </c>
      <c r="S382" s="5">
        <v>1</v>
      </c>
      <c r="T382" s="5">
        <v>1</v>
      </c>
      <c r="U382" s="5">
        <v>4</v>
      </c>
      <c r="V382" s="11" t="s">
        <v>31</v>
      </c>
      <c r="W382" s="5">
        <v>2</v>
      </c>
      <c r="X382" s="5">
        <v>0</v>
      </c>
      <c r="Y382" s="5" t="s">
        <v>932</v>
      </c>
      <c r="AA382" s="8">
        <v>46312</v>
      </c>
    </row>
    <row r="383" spans="1:27" ht="409.5" customHeight="1" x14ac:dyDescent="0.2">
      <c r="A383" s="5">
        <v>382</v>
      </c>
      <c r="B383" s="5">
        <v>332559756</v>
      </c>
      <c r="C383" s="5">
        <v>6</v>
      </c>
      <c r="D383" s="5" t="s">
        <v>349</v>
      </c>
      <c r="E383" s="5">
        <v>7</v>
      </c>
      <c r="F383" s="5" t="s">
        <v>361</v>
      </c>
      <c r="G383" s="5">
        <v>137</v>
      </c>
      <c r="H383" s="5">
        <f t="shared" si="10"/>
        <v>4.9199809258281251</v>
      </c>
      <c r="I383" s="5"/>
      <c r="J383" s="5">
        <v>2</v>
      </c>
      <c r="K383" s="5">
        <v>4</v>
      </c>
      <c r="L383" s="6">
        <f t="shared" si="11"/>
        <v>0.5</v>
      </c>
      <c r="M383" s="5"/>
      <c r="N383" s="5" t="s">
        <v>61</v>
      </c>
      <c r="O383" s="5">
        <v>1</v>
      </c>
      <c r="P383" s="5">
        <v>118000000</v>
      </c>
      <c r="Q383" s="7" t="s">
        <v>933</v>
      </c>
      <c r="R383" s="5" t="s">
        <v>30</v>
      </c>
      <c r="S383" s="5">
        <v>2</v>
      </c>
      <c r="T383" s="5">
        <v>2</v>
      </c>
      <c r="U383" s="5">
        <v>3.3</v>
      </c>
      <c r="V383" s="11" t="s">
        <v>38</v>
      </c>
      <c r="W383" s="5">
        <v>1</v>
      </c>
      <c r="X383" s="5">
        <v>0</v>
      </c>
      <c r="Y383" s="5" t="s">
        <v>934</v>
      </c>
      <c r="AA383" s="8">
        <v>46312</v>
      </c>
    </row>
    <row r="384" spans="1:27" ht="409.5" customHeight="1" x14ac:dyDescent="0.2">
      <c r="A384" s="5">
        <v>383</v>
      </c>
      <c r="B384" s="5">
        <v>325547166</v>
      </c>
      <c r="C384" s="5">
        <v>1</v>
      </c>
      <c r="D384" s="5" t="s">
        <v>349</v>
      </c>
      <c r="E384" s="5">
        <v>9</v>
      </c>
      <c r="F384" s="5" t="s">
        <v>873</v>
      </c>
      <c r="G384" s="5">
        <v>30.4</v>
      </c>
      <c r="H384" s="5">
        <f t="shared" si="10"/>
        <v>3.414442608412176</v>
      </c>
      <c r="I384" s="5">
        <v>18.3</v>
      </c>
      <c r="J384" s="5">
        <v>3</v>
      </c>
      <c r="K384" s="5">
        <v>9</v>
      </c>
      <c r="L384" s="6">
        <f t="shared" si="11"/>
        <v>0.33333333333333331</v>
      </c>
      <c r="M384" s="5" t="s">
        <v>28</v>
      </c>
      <c r="N384" s="5" t="s">
        <v>61</v>
      </c>
      <c r="O384" s="5">
        <v>1</v>
      </c>
      <c r="P384" s="5">
        <v>28000000</v>
      </c>
      <c r="Q384" s="7" t="s">
        <v>935</v>
      </c>
      <c r="R384" s="5" t="s">
        <v>30</v>
      </c>
      <c r="S384" s="5">
        <v>2</v>
      </c>
      <c r="T384" s="5">
        <v>1</v>
      </c>
      <c r="U384" s="5">
        <v>2.65</v>
      </c>
      <c r="V384" s="11" t="s">
        <v>52</v>
      </c>
      <c r="W384" s="5">
        <v>0</v>
      </c>
      <c r="X384" s="5">
        <v>0</v>
      </c>
      <c r="Y384" s="5" t="s">
        <v>936</v>
      </c>
      <c r="AA384" s="8">
        <v>46312</v>
      </c>
    </row>
    <row r="385" spans="1:27" ht="409.5" customHeight="1" x14ac:dyDescent="0.2">
      <c r="A385" s="5">
        <v>384</v>
      </c>
      <c r="B385" s="5">
        <v>327754536</v>
      </c>
      <c r="C385" s="5">
        <v>6</v>
      </c>
      <c r="D385" s="5" t="s">
        <v>349</v>
      </c>
      <c r="E385" s="5">
        <v>4</v>
      </c>
      <c r="F385" s="5" t="s">
        <v>367</v>
      </c>
      <c r="G385" s="5">
        <v>237.8</v>
      </c>
      <c r="H385" s="5">
        <f t="shared" si="10"/>
        <v>5.4714299842566811</v>
      </c>
      <c r="I385" s="5">
        <v>132</v>
      </c>
      <c r="J385" s="5">
        <v>4</v>
      </c>
      <c r="K385" s="5">
        <v>6</v>
      </c>
      <c r="L385" s="6">
        <f t="shared" si="11"/>
        <v>0.66666666666666663</v>
      </c>
      <c r="M385" s="5" t="s">
        <v>28</v>
      </c>
      <c r="N385" s="5" t="s">
        <v>61</v>
      </c>
      <c r="O385" s="5">
        <v>1</v>
      </c>
      <c r="P385" s="5">
        <v>204900000</v>
      </c>
      <c r="Q385" s="7" t="s">
        <v>937</v>
      </c>
      <c r="R385" s="5" t="s">
        <v>37</v>
      </c>
      <c r="S385" s="5">
        <v>3</v>
      </c>
      <c r="T385" s="5">
        <v>4</v>
      </c>
      <c r="U385" s="5">
        <v>3.2</v>
      </c>
      <c r="V385" s="11" t="s">
        <v>38</v>
      </c>
      <c r="W385" s="5">
        <v>1</v>
      </c>
      <c r="X385" s="5">
        <v>0</v>
      </c>
      <c r="Y385" s="5" t="s">
        <v>938</v>
      </c>
      <c r="AA385" s="8">
        <v>46312</v>
      </c>
    </row>
    <row r="386" spans="1:27" ht="409.5" customHeight="1" x14ac:dyDescent="0.2">
      <c r="A386" s="5">
        <v>385</v>
      </c>
      <c r="B386" s="5">
        <v>334575409</v>
      </c>
      <c r="C386" s="5">
        <v>4</v>
      </c>
      <c r="D386" s="5" t="s">
        <v>349</v>
      </c>
      <c r="E386" s="5">
        <v>5</v>
      </c>
      <c r="F386" s="5" t="s">
        <v>358</v>
      </c>
      <c r="G386" s="5">
        <v>200.6</v>
      </c>
      <c r="H386" s="5">
        <f t="shared" ref="H386:H449" si="12">LN(G386)</f>
        <v>5.3013128755278354</v>
      </c>
      <c r="I386" s="5">
        <v>180.8</v>
      </c>
      <c r="J386" s="5">
        <v>2</v>
      </c>
      <c r="K386" s="5">
        <v>4</v>
      </c>
      <c r="L386" s="6">
        <f t="shared" ref="L386:L449" si="13">J386/K386</f>
        <v>0.5</v>
      </c>
      <c r="M386" s="5" t="s">
        <v>57</v>
      </c>
      <c r="N386" s="5" t="s">
        <v>61</v>
      </c>
      <c r="O386" s="5">
        <v>1</v>
      </c>
      <c r="P386" s="5">
        <v>459000000</v>
      </c>
      <c r="Q386" s="7" t="s">
        <v>939</v>
      </c>
      <c r="R386" s="5" t="s">
        <v>37</v>
      </c>
      <c r="S386" s="5">
        <v>3</v>
      </c>
      <c r="T386" s="5">
        <v>4</v>
      </c>
      <c r="U386" s="5">
        <v>4.1500000000000004</v>
      </c>
      <c r="V386" s="11" t="s">
        <v>31</v>
      </c>
      <c r="W386" s="5">
        <v>2</v>
      </c>
      <c r="X386" s="5">
        <v>0</v>
      </c>
      <c r="Y386" s="5" t="s">
        <v>940</v>
      </c>
      <c r="AA386" s="8">
        <v>46312</v>
      </c>
    </row>
    <row r="387" spans="1:27" ht="409.5" customHeight="1" x14ac:dyDescent="0.2">
      <c r="A387" s="5">
        <v>386</v>
      </c>
      <c r="B387" s="5">
        <v>334575674</v>
      </c>
      <c r="C387" s="5">
        <v>3</v>
      </c>
      <c r="D387" s="5" t="s">
        <v>349</v>
      </c>
      <c r="E387" s="5">
        <v>5</v>
      </c>
      <c r="F387" s="5" t="s">
        <v>358</v>
      </c>
      <c r="G387" s="5">
        <v>106.8</v>
      </c>
      <c r="H387" s="5">
        <f t="shared" si="12"/>
        <v>4.6709579265260945</v>
      </c>
      <c r="I387" s="5">
        <v>86.8</v>
      </c>
      <c r="J387" s="5">
        <v>3</v>
      </c>
      <c r="K387" s="5">
        <v>4</v>
      </c>
      <c r="L387" s="6">
        <f t="shared" si="13"/>
        <v>0.75</v>
      </c>
      <c r="M387" s="5" t="s">
        <v>44</v>
      </c>
      <c r="N387" s="5" t="s">
        <v>61</v>
      </c>
      <c r="O387" s="5">
        <v>1</v>
      </c>
      <c r="P387" s="5">
        <v>230000000</v>
      </c>
      <c r="Q387" s="7" t="s">
        <v>941</v>
      </c>
      <c r="R387" s="5" t="s">
        <v>37</v>
      </c>
      <c r="S387" s="5">
        <v>3</v>
      </c>
      <c r="T387" s="5">
        <v>3</v>
      </c>
      <c r="U387" s="5">
        <v>4.5</v>
      </c>
      <c r="V387" s="11" t="s">
        <v>31</v>
      </c>
      <c r="W387" s="5">
        <v>2</v>
      </c>
      <c r="X387" s="5">
        <v>0</v>
      </c>
      <c r="Y387" s="5" t="s">
        <v>942</v>
      </c>
      <c r="AA387" s="8">
        <v>46312</v>
      </c>
    </row>
    <row r="388" spans="1:27" ht="409.5" customHeight="1" x14ac:dyDescent="0.2">
      <c r="A388" s="5">
        <v>387</v>
      </c>
      <c r="B388" s="5">
        <v>334984938</v>
      </c>
      <c r="C388" s="5">
        <v>0</v>
      </c>
      <c r="D388" s="5" t="s">
        <v>349</v>
      </c>
      <c r="E388" s="5">
        <v>5</v>
      </c>
      <c r="F388" s="5" t="s">
        <v>370</v>
      </c>
      <c r="G388" s="5">
        <v>21.35</v>
      </c>
      <c r="H388" s="5">
        <f t="shared" si="12"/>
        <v>3.0610517396746335</v>
      </c>
      <c r="I388" s="5">
        <v>13.4</v>
      </c>
      <c r="J388" s="5">
        <v>4</v>
      </c>
      <c r="K388" s="5">
        <v>6</v>
      </c>
      <c r="L388" s="6">
        <f t="shared" si="13"/>
        <v>0.66666666666666663</v>
      </c>
      <c r="M388" s="5" t="s">
        <v>28</v>
      </c>
      <c r="N388" s="5"/>
      <c r="O388" s="5">
        <v>0</v>
      </c>
      <c r="P388" s="5">
        <v>17600000</v>
      </c>
      <c r="Q388" s="7" t="s">
        <v>943</v>
      </c>
      <c r="R388" s="5" t="s">
        <v>30</v>
      </c>
      <c r="S388" s="5">
        <v>2</v>
      </c>
      <c r="T388" s="5">
        <v>1</v>
      </c>
      <c r="U388" s="5">
        <v>3.7</v>
      </c>
      <c r="V388" s="11" t="s">
        <v>31</v>
      </c>
      <c r="W388" s="5">
        <v>2</v>
      </c>
      <c r="X388" s="5">
        <v>0</v>
      </c>
      <c r="Y388" s="5" t="s">
        <v>944</v>
      </c>
      <c r="AA388" s="8">
        <v>46312</v>
      </c>
    </row>
    <row r="389" spans="1:27" ht="409.5" customHeight="1" x14ac:dyDescent="0.2">
      <c r="A389" s="5">
        <v>388</v>
      </c>
      <c r="B389" s="5">
        <v>334845815</v>
      </c>
      <c r="C389" s="5">
        <v>3</v>
      </c>
      <c r="D389" s="5" t="s">
        <v>945</v>
      </c>
      <c r="E389" s="5">
        <v>17</v>
      </c>
      <c r="F389" s="5" t="s">
        <v>374</v>
      </c>
      <c r="G389" s="5">
        <v>67.599999999999994</v>
      </c>
      <c r="H389" s="5">
        <f t="shared" si="12"/>
        <v>4.2136079830489184</v>
      </c>
      <c r="I389" s="5">
        <v>49.6</v>
      </c>
      <c r="J389" s="5">
        <v>1</v>
      </c>
      <c r="K389" s="5">
        <v>5</v>
      </c>
      <c r="L389" s="6">
        <f t="shared" si="13"/>
        <v>0.2</v>
      </c>
      <c r="M389" s="5" t="s">
        <v>28</v>
      </c>
      <c r="N389" s="5"/>
      <c r="O389" s="5">
        <v>0</v>
      </c>
      <c r="P389" s="5">
        <v>43000000</v>
      </c>
      <c r="Q389" s="7" t="s">
        <v>946</v>
      </c>
      <c r="R389" s="5" t="s">
        <v>107</v>
      </c>
      <c r="S389" s="5">
        <v>1</v>
      </c>
      <c r="T389" s="5">
        <v>1</v>
      </c>
      <c r="U389" s="5">
        <v>3</v>
      </c>
      <c r="V389" s="11" t="s">
        <v>38</v>
      </c>
      <c r="W389" s="5">
        <v>1</v>
      </c>
      <c r="X389" s="5">
        <v>0</v>
      </c>
      <c r="Y389" s="5" t="s">
        <v>947</v>
      </c>
      <c r="AA389" s="8">
        <v>46312</v>
      </c>
    </row>
    <row r="390" spans="1:27" ht="409.5" customHeight="1" x14ac:dyDescent="0.2">
      <c r="A390" s="5">
        <v>389</v>
      </c>
      <c r="B390" s="5">
        <v>333238578</v>
      </c>
      <c r="C390" s="5">
        <v>4</v>
      </c>
      <c r="D390" s="5" t="s">
        <v>349</v>
      </c>
      <c r="E390" s="5">
        <v>5</v>
      </c>
      <c r="F390" s="5" t="s">
        <v>358</v>
      </c>
      <c r="G390" s="5">
        <v>199</v>
      </c>
      <c r="H390" s="5">
        <f t="shared" si="12"/>
        <v>5.2933048247244923</v>
      </c>
      <c r="I390" s="5"/>
      <c r="J390" s="5">
        <v>2</v>
      </c>
      <c r="K390" s="5">
        <v>4</v>
      </c>
      <c r="L390" s="6">
        <f t="shared" si="13"/>
        <v>0.5</v>
      </c>
      <c r="M390" s="5" t="s">
        <v>44</v>
      </c>
      <c r="N390" s="5"/>
      <c r="O390" s="5">
        <v>0</v>
      </c>
      <c r="P390" s="5">
        <v>459000000</v>
      </c>
      <c r="Q390" s="7" t="s">
        <v>948</v>
      </c>
      <c r="R390" s="5" t="s">
        <v>41</v>
      </c>
      <c r="S390" s="5">
        <v>0</v>
      </c>
      <c r="T390" s="5">
        <v>4</v>
      </c>
      <c r="U390" s="5"/>
      <c r="V390" s="5"/>
      <c r="W390" s="5"/>
      <c r="X390" s="5">
        <v>0</v>
      </c>
      <c r="Y390" s="5" t="s">
        <v>949</v>
      </c>
      <c r="AA390" s="8">
        <v>46312</v>
      </c>
    </row>
    <row r="391" spans="1:27" ht="409.5" customHeight="1" x14ac:dyDescent="0.2">
      <c r="A391" s="5">
        <v>390</v>
      </c>
      <c r="B391" s="5">
        <v>319780841</v>
      </c>
      <c r="C391" s="5">
        <v>3</v>
      </c>
      <c r="D391" s="5" t="s">
        <v>349</v>
      </c>
      <c r="E391" s="5">
        <v>3</v>
      </c>
      <c r="F391" s="5" t="s">
        <v>865</v>
      </c>
      <c r="G391" s="5">
        <v>165</v>
      </c>
      <c r="H391" s="5">
        <f t="shared" si="12"/>
        <v>5.1059454739005803</v>
      </c>
      <c r="I391" s="5">
        <v>82.1</v>
      </c>
      <c r="J391" s="5">
        <v>2</v>
      </c>
      <c r="K391" s="5">
        <v>2</v>
      </c>
      <c r="L391" s="6">
        <f t="shared" si="13"/>
        <v>1</v>
      </c>
      <c r="M391" s="5" t="s">
        <v>28</v>
      </c>
      <c r="N391" s="5" t="s">
        <v>61</v>
      </c>
      <c r="O391" s="5">
        <v>1</v>
      </c>
      <c r="P391" s="5">
        <v>290000000</v>
      </c>
      <c r="Q391" s="7" t="s">
        <v>950</v>
      </c>
      <c r="R391" s="5" t="s">
        <v>37</v>
      </c>
      <c r="S391" s="5">
        <v>3</v>
      </c>
      <c r="T391" s="5">
        <v>4</v>
      </c>
      <c r="U391" s="5">
        <v>12</v>
      </c>
      <c r="V391" s="11" t="s">
        <v>31</v>
      </c>
      <c r="W391" s="5">
        <v>2</v>
      </c>
      <c r="X391" s="5">
        <v>0</v>
      </c>
      <c r="Y391" s="5" t="s">
        <v>951</v>
      </c>
      <c r="AA391" s="8">
        <v>46312</v>
      </c>
    </row>
    <row r="392" spans="1:27" ht="409.5" customHeight="1" x14ac:dyDescent="0.2">
      <c r="A392" s="5">
        <v>391</v>
      </c>
      <c r="B392" s="5">
        <v>327541933</v>
      </c>
      <c r="C392" s="5">
        <v>3</v>
      </c>
      <c r="D392" s="5" t="s">
        <v>349</v>
      </c>
      <c r="E392" s="5">
        <v>3</v>
      </c>
      <c r="F392" s="5" t="s">
        <v>865</v>
      </c>
      <c r="G392" s="5">
        <v>165</v>
      </c>
      <c r="H392" s="5">
        <f t="shared" si="12"/>
        <v>5.1059454739005803</v>
      </c>
      <c r="I392" s="5">
        <v>102.2</v>
      </c>
      <c r="J392" s="5">
        <v>1</v>
      </c>
      <c r="K392" s="5">
        <v>2</v>
      </c>
      <c r="L392" s="6">
        <f t="shared" si="13"/>
        <v>0.5</v>
      </c>
      <c r="M392" s="5" t="s">
        <v>28</v>
      </c>
      <c r="N392" s="5" t="s">
        <v>61</v>
      </c>
      <c r="O392" s="5">
        <v>1</v>
      </c>
      <c r="P392" s="5">
        <v>290000000</v>
      </c>
      <c r="Q392" s="7" t="s">
        <v>952</v>
      </c>
      <c r="R392" s="5" t="s">
        <v>37</v>
      </c>
      <c r="S392" s="5">
        <v>3</v>
      </c>
      <c r="T392" s="5">
        <v>2</v>
      </c>
      <c r="U392" s="5">
        <v>12</v>
      </c>
      <c r="V392" s="11" t="s">
        <v>31</v>
      </c>
      <c r="W392" s="5">
        <v>2</v>
      </c>
      <c r="X392" s="5">
        <v>0</v>
      </c>
      <c r="Y392" s="5" t="s">
        <v>953</v>
      </c>
      <c r="AA392" s="8">
        <v>46312</v>
      </c>
    </row>
    <row r="393" spans="1:27" ht="409.5" customHeight="1" x14ac:dyDescent="0.2">
      <c r="A393" s="5">
        <v>392</v>
      </c>
      <c r="B393" s="5">
        <v>334381175</v>
      </c>
      <c r="C393" s="5">
        <v>4</v>
      </c>
      <c r="D393" s="5" t="s">
        <v>349</v>
      </c>
      <c r="E393" s="5">
        <v>4</v>
      </c>
      <c r="F393" s="5" t="s">
        <v>403</v>
      </c>
      <c r="G393" s="5">
        <v>120</v>
      </c>
      <c r="H393" s="5">
        <f t="shared" si="12"/>
        <v>4.7874917427820458</v>
      </c>
      <c r="I393" s="5">
        <v>75</v>
      </c>
      <c r="J393" s="5">
        <v>5</v>
      </c>
      <c r="K393" s="5">
        <v>5</v>
      </c>
      <c r="L393" s="6">
        <f t="shared" si="13"/>
        <v>1</v>
      </c>
      <c r="M393" s="5" t="s">
        <v>28</v>
      </c>
      <c r="N393" s="5" t="s">
        <v>61</v>
      </c>
      <c r="O393" s="5">
        <v>1</v>
      </c>
      <c r="P393" s="5">
        <v>72000000</v>
      </c>
      <c r="Q393" s="7" t="s">
        <v>954</v>
      </c>
      <c r="R393" s="5" t="s">
        <v>107</v>
      </c>
      <c r="S393" s="5">
        <v>1</v>
      </c>
      <c r="T393" s="5">
        <v>1</v>
      </c>
      <c r="U393" s="5"/>
      <c r="V393" s="5"/>
      <c r="W393" s="5"/>
      <c r="X393" s="5">
        <v>0</v>
      </c>
      <c r="Y393" s="5" t="s">
        <v>955</v>
      </c>
      <c r="AA393" s="8">
        <v>46312</v>
      </c>
    </row>
    <row r="394" spans="1:27" ht="409.5" customHeight="1" x14ac:dyDescent="0.2">
      <c r="A394" s="5">
        <v>393</v>
      </c>
      <c r="B394" s="5">
        <v>328377077</v>
      </c>
      <c r="C394" s="5">
        <v>2</v>
      </c>
      <c r="D394" s="5" t="s">
        <v>349</v>
      </c>
      <c r="E394" s="5">
        <v>5</v>
      </c>
      <c r="F394" s="5" t="s">
        <v>865</v>
      </c>
      <c r="G394" s="5">
        <v>81.7</v>
      </c>
      <c r="H394" s="5">
        <f t="shared" si="12"/>
        <v>4.4030540018659572</v>
      </c>
      <c r="I394" s="5">
        <v>60</v>
      </c>
      <c r="J394" s="5">
        <v>2</v>
      </c>
      <c r="K394" s="5">
        <v>3</v>
      </c>
      <c r="L394" s="6">
        <f t="shared" si="13"/>
        <v>0.66666666666666663</v>
      </c>
      <c r="M394" s="5"/>
      <c r="N394" s="5" t="s">
        <v>61</v>
      </c>
      <c r="O394" s="5">
        <v>1</v>
      </c>
      <c r="P394" s="5">
        <v>130720000</v>
      </c>
      <c r="Q394" s="7" t="s">
        <v>956</v>
      </c>
      <c r="R394" s="5" t="s">
        <v>37</v>
      </c>
      <c r="S394" s="5">
        <v>3</v>
      </c>
      <c r="T394" s="5">
        <v>1</v>
      </c>
      <c r="U394" s="5">
        <v>5.7</v>
      </c>
      <c r="V394" s="11" t="s">
        <v>31</v>
      </c>
      <c r="W394" s="5">
        <v>2</v>
      </c>
      <c r="X394" s="5">
        <v>0</v>
      </c>
      <c r="Y394" s="5" t="s">
        <v>957</v>
      </c>
      <c r="AA394" s="8">
        <v>46312</v>
      </c>
    </row>
    <row r="395" spans="1:27" ht="409.5" customHeight="1" x14ac:dyDescent="0.2">
      <c r="A395" s="5">
        <v>394</v>
      </c>
      <c r="B395" s="5">
        <v>329772068</v>
      </c>
      <c r="C395" s="5">
        <v>2</v>
      </c>
      <c r="D395" s="5" t="s">
        <v>349</v>
      </c>
      <c r="E395" s="5">
        <v>5</v>
      </c>
      <c r="F395" s="5" t="s">
        <v>865</v>
      </c>
      <c r="G395" s="5">
        <v>123.5</v>
      </c>
      <c r="H395" s="5">
        <f t="shared" si="12"/>
        <v>4.816241156068032</v>
      </c>
      <c r="I395" s="5">
        <v>80</v>
      </c>
      <c r="J395" s="5">
        <v>2</v>
      </c>
      <c r="K395" s="5">
        <v>3</v>
      </c>
      <c r="L395" s="6">
        <f t="shared" si="13"/>
        <v>0.66666666666666663</v>
      </c>
      <c r="M395" s="5"/>
      <c r="N395" s="5" t="s">
        <v>61</v>
      </c>
      <c r="O395" s="5">
        <v>1</v>
      </c>
      <c r="P395" s="5">
        <v>197600000</v>
      </c>
      <c r="Q395" s="7" t="s">
        <v>958</v>
      </c>
      <c r="R395" s="5" t="s">
        <v>37</v>
      </c>
      <c r="S395" s="5">
        <v>3</v>
      </c>
      <c r="T395" s="5">
        <v>1</v>
      </c>
      <c r="U395" s="5">
        <v>4.8</v>
      </c>
      <c r="V395" s="11" t="s">
        <v>31</v>
      </c>
      <c r="W395" s="5">
        <v>2</v>
      </c>
      <c r="X395" s="5">
        <v>0</v>
      </c>
      <c r="Y395" s="5" t="s">
        <v>959</v>
      </c>
      <c r="AA395" s="8">
        <v>46312</v>
      </c>
    </row>
    <row r="396" spans="1:27" ht="409.5" customHeight="1" x14ac:dyDescent="0.2">
      <c r="A396" s="5">
        <v>395</v>
      </c>
      <c r="B396" s="5">
        <v>330166314</v>
      </c>
      <c r="C396" s="5">
        <v>4</v>
      </c>
      <c r="D396" s="5" t="s">
        <v>349</v>
      </c>
      <c r="E396" s="5">
        <v>5</v>
      </c>
      <c r="F396" s="5" t="s">
        <v>358</v>
      </c>
      <c r="G396" s="5">
        <v>269.7</v>
      </c>
      <c r="H396" s="5">
        <f t="shared" si="12"/>
        <v>5.5973102301456841</v>
      </c>
      <c r="I396" s="5"/>
      <c r="J396" s="5">
        <v>1</v>
      </c>
      <c r="K396" s="5">
        <v>4</v>
      </c>
      <c r="L396" s="6">
        <f t="shared" si="13"/>
        <v>0.25</v>
      </c>
      <c r="M396" s="5"/>
      <c r="N396" s="5" t="s">
        <v>61</v>
      </c>
      <c r="O396" s="5">
        <v>1</v>
      </c>
      <c r="P396" s="5">
        <v>428000000</v>
      </c>
      <c r="Q396" s="7" t="s">
        <v>960</v>
      </c>
      <c r="R396" s="5" t="s">
        <v>41</v>
      </c>
      <c r="S396" s="5">
        <v>0</v>
      </c>
      <c r="T396" s="5">
        <v>2</v>
      </c>
      <c r="U396" s="5">
        <v>2.6</v>
      </c>
      <c r="V396" s="11" t="s">
        <v>52</v>
      </c>
      <c r="W396" s="5">
        <v>0</v>
      </c>
      <c r="X396" s="5">
        <v>0</v>
      </c>
      <c r="Y396" s="5" t="s">
        <v>961</v>
      </c>
      <c r="AA396" s="8">
        <v>46312</v>
      </c>
    </row>
    <row r="397" spans="1:27" ht="409.5" customHeight="1" x14ac:dyDescent="0.2">
      <c r="A397" s="5">
        <v>396</v>
      </c>
      <c r="B397" s="5">
        <v>330391459</v>
      </c>
      <c r="C397" s="5">
        <v>6</v>
      </c>
      <c r="D397" s="5" t="s">
        <v>349</v>
      </c>
      <c r="E397" s="5">
        <v>5</v>
      </c>
      <c r="F397" s="5" t="s">
        <v>358</v>
      </c>
      <c r="G397" s="5">
        <v>1231</v>
      </c>
      <c r="H397" s="5">
        <f t="shared" si="12"/>
        <v>7.1155821261844538</v>
      </c>
      <c r="I397" s="5"/>
      <c r="J397" s="5">
        <v>4</v>
      </c>
      <c r="K397" s="5">
        <v>4</v>
      </c>
      <c r="L397" s="6">
        <f t="shared" si="13"/>
        <v>1</v>
      </c>
      <c r="M397" s="5"/>
      <c r="N397" s="5"/>
      <c r="O397" s="5">
        <v>0</v>
      </c>
      <c r="P397" s="5">
        <v>2500000000</v>
      </c>
      <c r="Q397" s="7" t="s">
        <v>962</v>
      </c>
      <c r="R397" s="5" t="s">
        <v>41</v>
      </c>
      <c r="S397" s="5">
        <v>0</v>
      </c>
      <c r="T397" s="5"/>
      <c r="U397" s="5">
        <v>2.6</v>
      </c>
      <c r="V397" s="11" t="s">
        <v>52</v>
      </c>
      <c r="W397" s="5">
        <v>0</v>
      </c>
      <c r="X397" s="5">
        <v>0</v>
      </c>
      <c r="Y397" s="5" t="s">
        <v>963</v>
      </c>
      <c r="AA397" s="8">
        <v>46312</v>
      </c>
    </row>
    <row r="398" spans="1:27" ht="409.5" customHeight="1" x14ac:dyDescent="0.2">
      <c r="A398" s="5">
        <v>397</v>
      </c>
      <c r="B398" s="5">
        <v>329278193</v>
      </c>
      <c r="C398" s="5">
        <v>4</v>
      </c>
      <c r="D398" s="5" t="s">
        <v>349</v>
      </c>
      <c r="E398" s="5">
        <v>5</v>
      </c>
      <c r="F398" s="5" t="s">
        <v>358</v>
      </c>
      <c r="G398" s="5">
        <v>305.5</v>
      </c>
      <c r="H398" s="5">
        <f t="shared" si="12"/>
        <v>5.7219497786116502</v>
      </c>
      <c r="I398" s="5"/>
      <c r="J398" s="5">
        <v>1</v>
      </c>
      <c r="K398" s="5">
        <v>4</v>
      </c>
      <c r="L398" s="6">
        <f t="shared" si="13"/>
        <v>0.25</v>
      </c>
      <c r="M398" s="5"/>
      <c r="N398" s="5"/>
      <c r="O398" s="5">
        <v>0</v>
      </c>
      <c r="P398" s="5">
        <v>200000000</v>
      </c>
      <c r="Q398" s="7" t="s">
        <v>964</v>
      </c>
      <c r="R398" s="5" t="s">
        <v>41</v>
      </c>
      <c r="S398" s="5">
        <v>0</v>
      </c>
      <c r="T398" s="5"/>
      <c r="U398" s="5">
        <v>2.6</v>
      </c>
      <c r="V398" s="11" t="s">
        <v>52</v>
      </c>
      <c r="W398" s="5">
        <v>0</v>
      </c>
      <c r="X398" s="5">
        <v>0</v>
      </c>
      <c r="Y398" s="5" t="s">
        <v>965</v>
      </c>
      <c r="AA398" s="8">
        <v>46312</v>
      </c>
    </row>
    <row r="399" spans="1:27" ht="409.5" customHeight="1" x14ac:dyDescent="0.2">
      <c r="A399" s="5">
        <v>398</v>
      </c>
      <c r="B399" s="5">
        <v>316340180</v>
      </c>
      <c r="C399" s="5">
        <v>3</v>
      </c>
      <c r="D399" s="5" t="s">
        <v>349</v>
      </c>
      <c r="E399" s="5">
        <v>4</v>
      </c>
      <c r="F399" s="5" t="s">
        <v>374</v>
      </c>
      <c r="G399" s="5">
        <v>73</v>
      </c>
      <c r="H399" s="5">
        <f t="shared" si="12"/>
        <v>4.290459441148391</v>
      </c>
      <c r="I399" s="5">
        <v>56</v>
      </c>
      <c r="J399" s="5">
        <v>3</v>
      </c>
      <c r="K399" s="5">
        <v>6</v>
      </c>
      <c r="L399" s="6">
        <f t="shared" si="13"/>
        <v>0.5</v>
      </c>
      <c r="M399" s="5" t="s">
        <v>28</v>
      </c>
      <c r="N399" s="5" t="s">
        <v>61</v>
      </c>
      <c r="O399" s="5">
        <v>1</v>
      </c>
      <c r="P399" s="5">
        <v>44900000</v>
      </c>
      <c r="Q399" s="7" t="s">
        <v>966</v>
      </c>
      <c r="R399" s="5" t="s">
        <v>41</v>
      </c>
      <c r="S399" s="5">
        <v>0</v>
      </c>
      <c r="T399" s="5">
        <v>1</v>
      </c>
      <c r="U399" s="5">
        <v>3</v>
      </c>
      <c r="V399" s="11" t="s">
        <v>38</v>
      </c>
      <c r="W399" s="5">
        <v>1</v>
      </c>
      <c r="X399" s="5">
        <v>0</v>
      </c>
      <c r="Y399" s="5" t="s">
        <v>967</v>
      </c>
      <c r="AA399" s="8">
        <v>46312</v>
      </c>
    </row>
    <row r="400" spans="1:27" ht="409.5" customHeight="1" x14ac:dyDescent="0.2">
      <c r="A400" s="5">
        <v>399</v>
      </c>
      <c r="B400" s="5">
        <v>333116139</v>
      </c>
      <c r="C400" s="5">
        <v>5</v>
      </c>
      <c r="D400" s="5" t="s">
        <v>349</v>
      </c>
      <c r="E400" s="5">
        <v>3</v>
      </c>
      <c r="F400" s="5" t="s">
        <v>379</v>
      </c>
      <c r="G400" s="5">
        <v>215</v>
      </c>
      <c r="H400" s="5">
        <f t="shared" si="12"/>
        <v>5.3706380281276624</v>
      </c>
      <c r="I400" s="5">
        <v>153</v>
      </c>
      <c r="J400" s="5">
        <v>6</v>
      </c>
      <c r="K400" s="5">
        <v>6</v>
      </c>
      <c r="L400" s="6">
        <f t="shared" si="13"/>
        <v>1</v>
      </c>
      <c r="M400" s="5" t="s">
        <v>28</v>
      </c>
      <c r="N400" s="5" t="s">
        <v>61</v>
      </c>
      <c r="O400" s="5">
        <v>1</v>
      </c>
      <c r="P400" s="5">
        <v>225000000</v>
      </c>
      <c r="Q400" s="7" t="s">
        <v>968</v>
      </c>
      <c r="R400" s="5" t="s">
        <v>37</v>
      </c>
      <c r="S400" s="5">
        <v>3</v>
      </c>
      <c r="T400" s="5">
        <v>3</v>
      </c>
      <c r="U400" s="5">
        <v>4.2</v>
      </c>
      <c r="V400" s="11" t="s">
        <v>31</v>
      </c>
      <c r="W400" s="5">
        <v>2</v>
      </c>
      <c r="X400" s="5">
        <v>0</v>
      </c>
      <c r="Y400" s="5" t="s">
        <v>969</v>
      </c>
      <c r="AA400" s="8">
        <v>46312</v>
      </c>
    </row>
    <row r="401" spans="1:27" ht="409.5" customHeight="1" x14ac:dyDescent="0.2">
      <c r="A401" s="5">
        <v>400</v>
      </c>
      <c r="B401" s="5">
        <v>324301189</v>
      </c>
      <c r="C401" s="5">
        <v>3</v>
      </c>
      <c r="D401" s="5" t="s">
        <v>349</v>
      </c>
      <c r="E401" s="5">
        <v>9</v>
      </c>
      <c r="F401" s="5" t="s">
        <v>355</v>
      </c>
      <c r="G401" s="5">
        <v>105</v>
      </c>
      <c r="H401" s="5">
        <f t="shared" si="12"/>
        <v>4.6539603501575231</v>
      </c>
      <c r="I401" s="5">
        <v>53</v>
      </c>
      <c r="J401" s="5">
        <v>3</v>
      </c>
      <c r="K401" s="5">
        <v>5</v>
      </c>
      <c r="L401" s="6">
        <f t="shared" si="13"/>
        <v>0.6</v>
      </c>
      <c r="M401" s="5" t="s">
        <v>28</v>
      </c>
      <c r="N401" s="5" t="s">
        <v>61</v>
      </c>
      <c r="O401" s="5">
        <v>1</v>
      </c>
      <c r="P401" s="5">
        <v>63500000</v>
      </c>
      <c r="Q401" s="7" t="s">
        <v>970</v>
      </c>
      <c r="R401" s="5" t="s">
        <v>107</v>
      </c>
      <c r="S401" s="5">
        <v>1</v>
      </c>
      <c r="T401" s="5">
        <v>1</v>
      </c>
      <c r="U401" s="5">
        <v>3.2</v>
      </c>
      <c r="V401" s="11" t="s">
        <v>38</v>
      </c>
      <c r="W401" s="5">
        <v>1</v>
      </c>
      <c r="X401" s="5">
        <v>0</v>
      </c>
      <c r="Y401" s="5" t="s">
        <v>971</v>
      </c>
      <c r="AA401" s="8">
        <v>46312</v>
      </c>
    </row>
    <row r="402" spans="1:27" ht="409.5" customHeight="1" x14ac:dyDescent="0.2">
      <c r="A402" s="5">
        <v>401</v>
      </c>
      <c r="B402" s="5">
        <v>334133446</v>
      </c>
      <c r="C402" s="5">
        <v>3</v>
      </c>
      <c r="D402" s="5" t="s">
        <v>902</v>
      </c>
      <c r="E402" s="5">
        <v>11</v>
      </c>
      <c r="F402" s="5" t="s">
        <v>903</v>
      </c>
      <c r="G402" s="5">
        <v>154</v>
      </c>
      <c r="H402" s="5">
        <f t="shared" si="12"/>
        <v>5.0369526024136295</v>
      </c>
      <c r="I402" s="5"/>
      <c r="J402" s="5">
        <v>2</v>
      </c>
      <c r="K402" s="5">
        <v>7</v>
      </c>
      <c r="L402" s="6">
        <f t="shared" si="13"/>
        <v>0.2857142857142857</v>
      </c>
      <c r="M402" s="5"/>
      <c r="N402" s="5"/>
      <c r="O402" s="5">
        <v>0</v>
      </c>
      <c r="P402" s="5">
        <v>215400000</v>
      </c>
      <c r="Q402" s="7" t="s">
        <v>972</v>
      </c>
      <c r="R402" s="5" t="s">
        <v>37</v>
      </c>
      <c r="S402" s="5">
        <v>3</v>
      </c>
      <c r="T402" s="5">
        <v>3</v>
      </c>
      <c r="U402" s="5"/>
      <c r="V402" s="5"/>
      <c r="W402" s="5"/>
      <c r="X402" s="5">
        <v>0</v>
      </c>
      <c r="Y402" s="5" t="s">
        <v>973</v>
      </c>
      <c r="AA402" s="8">
        <v>46312</v>
      </c>
    </row>
    <row r="403" spans="1:27" ht="409.5" customHeight="1" x14ac:dyDescent="0.2">
      <c r="A403" s="5">
        <v>402</v>
      </c>
      <c r="B403" s="5">
        <v>333076595</v>
      </c>
      <c r="C403" s="5">
        <v>0</v>
      </c>
      <c r="D403" s="5" t="s">
        <v>349</v>
      </c>
      <c r="E403" s="5">
        <v>5</v>
      </c>
      <c r="F403" s="5" t="s">
        <v>370</v>
      </c>
      <c r="G403" s="5">
        <v>23.5</v>
      </c>
      <c r="H403" s="5">
        <f t="shared" si="12"/>
        <v>3.1570004211501135</v>
      </c>
      <c r="I403" s="5">
        <v>14</v>
      </c>
      <c r="J403" s="5">
        <v>2</v>
      </c>
      <c r="K403" s="5">
        <v>7</v>
      </c>
      <c r="L403" s="6">
        <f t="shared" si="13"/>
        <v>0.2857142857142857</v>
      </c>
      <c r="M403" s="5"/>
      <c r="N403" s="5" t="s">
        <v>61</v>
      </c>
      <c r="O403" s="5">
        <v>1</v>
      </c>
      <c r="P403" s="5">
        <v>18300000</v>
      </c>
      <c r="Q403" s="7" t="s">
        <v>974</v>
      </c>
      <c r="R403" s="5" t="s">
        <v>37</v>
      </c>
      <c r="S403" s="5">
        <v>3</v>
      </c>
      <c r="T403" s="5">
        <v>1</v>
      </c>
      <c r="U403" s="5">
        <v>3.7</v>
      </c>
      <c r="V403" s="11" t="s">
        <v>31</v>
      </c>
      <c r="W403" s="5">
        <v>2</v>
      </c>
      <c r="X403" s="5">
        <v>0</v>
      </c>
      <c r="Y403" s="5" t="s">
        <v>975</v>
      </c>
      <c r="AA403" s="8">
        <v>46312</v>
      </c>
    </row>
    <row r="404" spans="1:27" ht="409.5" customHeight="1" x14ac:dyDescent="0.2">
      <c r="A404" s="5">
        <v>403</v>
      </c>
      <c r="B404" s="5">
        <v>327593501</v>
      </c>
      <c r="C404" s="5">
        <v>4</v>
      </c>
      <c r="D404" s="5" t="s">
        <v>349</v>
      </c>
      <c r="E404" s="5">
        <v>8</v>
      </c>
      <c r="F404" s="5" t="s">
        <v>892</v>
      </c>
      <c r="G404" s="5">
        <v>85.7</v>
      </c>
      <c r="H404" s="5">
        <f t="shared" si="12"/>
        <v>4.4508528256037341</v>
      </c>
      <c r="I404" s="5">
        <v>61.3</v>
      </c>
      <c r="J404" s="5">
        <v>5</v>
      </c>
      <c r="K404" s="5">
        <v>5</v>
      </c>
      <c r="L404" s="6">
        <f t="shared" si="13"/>
        <v>1</v>
      </c>
      <c r="M404" s="5" t="s">
        <v>28</v>
      </c>
      <c r="N404" s="5" t="s">
        <v>61</v>
      </c>
      <c r="O404" s="5">
        <v>1</v>
      </c>
      <c r="P404" s="5">
        <v>53500000</v>
      </c>
      <c r="Q404" s="7" t="s">
        <v>976</v>
      </c>
      <c r="R404" s="5" t="s">
        <v>37</v>
      </c>
      <c r="S404" s="5">
        <v>3</v>
      </c>
      <c r="T404" s="5">
        <v>1</v>
      </c>
      <c r="U404" s="5">
        <v>2.98</v>
      </c>
      <c r="V404" s="11" t="s">
        <v>52</v>
      </c>
      <c r="W404" s="5">
        <v>0</v>
      </c>
      <c r="X404" s="5">
        <v>0</v>
      </c>
      <c r="Y404" s="5" t="s">
        <v>977</v>
      </c>
      <c r="AA404" s="8">
        <v>46312</v>
      </c>
    </row>
    <row r="405" spans="1:27" ht="409.5" customHeight="1" x14ac:dyDescent="0.2">
      <c r="A405" s="5">
        <v>404</v>
      </c>
      <c r="B405" s="5">
        <v>312760289</v>
      </c>
      <c r="C405" s="5">
        <v>2</v>
      </c>
      <c r="D405" s="5" t="s">
        <v>349</v>
      </c>
      <c r="E405" s="5">
        <v>3</v>
      </c>
      <c r="F405" s="5" t="s">
        <v>865</v>
      </c>
      <c r="G405" s="5">
        <v>61.2</v>
      </c>
      <c r="H405" s="5">
        <f t="shared" si="12"/>
        <v>4.1141471895182802</v>
      </c>
      <c r="I405" s="5">
        <v>26.2</v>
      </c>
      <c r="J405" s="5">
        <v>2</v>
      </c>
      <c r="K405" s="5">
        <v>3</v>
      </c>
      <c r="L405" s="6">
        <f t="shared" si="13"/>
        <v>0.66666666666666663</v>
      </c>
      <c r="M405" s="5" t="s">
        <v>28</v>
      </c>
      <c r="N405" s="5" t="s">
        <v>61</v>
      </c>
      <c r="O405" s="5">
        <v>1</v>
      </c>
      <c r="P405" s="5">
        <v>70000000</v>
      </c>
      <c r="Q405" s="7" t="s">
        <v>978</v>
      </c>
      <c r="R405" s="5" t="s">
        <v>37</v>
      </c>
      <c r="S405" s="5">
        <v>3</v>
      </c>
      <c r="T405" s="5">
        <v>1</v>
      </c>
      <c r="U405" s="5">
        <v>5</v>
      </c>
      <c r="V405" s="11" t="s">
        <v>31</v>
      </c>
      <c r="W405" s="5">
        <v>2</v>
      </c>
      <c r="X405" s="5">
        <v>0</v>
      </c>
      <c r="Y405" s="5" t="s">
        <v>979</v>
      </c>
      <c r="AA405" s="8">
        <v>46312</v>
      </c>
    </row>
    <row r="406" spans="1:27" ht="409.5" customHeight="1" x14ac:dyDescent="0.2">
      <c r="A406" s="5">
        <v>405</v>
      </c>
      <c r="B406" s="5">
        <v>330609783</v>
      </c>
      <c r="C406" s="5">
        <v>3</v>
      </c>
      <c r="D406" s="5" t="s">
        <v>349</v>
      </c>
      <c r="E406" s="5">
        <v>4</v>
      </c>
      <c r="F406" s="5" t="s">
        <v>374</v>
      </c>
      <c r="G406" s="5">
        <v>68.5</v>
      </c>
      <c r="H406" s="5">
        <f t="shared" si="12"/>
        <v>4.2268337452681797</v>
      </c>
      <c r="I406" s="5">
        <v>49</v>
      </c>
      <c r="J406" s="5">
        <v>2</v>
      </c>
      <c r="K406" s="5">
        <v>5</v>
      </c>
      <c r="L406" s="6">
        <f t="shared" si="13"/>
        <v>0.4</v>
      </c>
      <c r="M406" s="5"/>
      <c r="N406" s="5" t="s">
        <v>61</v>
      </c>
      <c r="O406" s="5">
        <v>1</v>
      </c>
      <c r="P406" s="5">
        <v>48000000</v>
      </c>
      <c r="Q406" s="7" t="s">
        <v>980</v>
      </c>
      <c r="R406" s="5" t="s">
        <v>37</v>
      </c>
      <c r="S406" s="5">
        <v>3</v>
      </c>
      <c r="T406" s="5">
        <v>1</v>
      </c>
      <c r="U406" s="5">
        <v>3</v>
      </c>
      <c r="V406" s="11" t="s">
        <v>38</v>
      </c>
      <c r="W406" s="5">
        <v>1</v>
      </c>
      <c r="X406" s="5">
        <v>0</v>
      </c>
      <c r="Y406" s="5" t="s">
        <v>981</v>
      </c>
      <c r="AA406" s="8">
        <v>46312</v>
      </c>
    </row>
    <row r="407" spans="1:27" ht="409.5" customHeight="1" x14ac:dyDescent="0.2">
      <c r="A407" s="5">
        <v>406</v>
      </c>
      <c r="B407" s="5">
        <v>334166689</v>
      </c>
      <c r="C407" s="5">
        <v>2</v>
      </c>
      <c r="D407" s="5" t="s">
        <v>349</v>
      </c>
      <c r="E407" s="5">
        <v>5</v>
      </c>
      <c r="F407" s="5" t="s">
        <v>367</v>
      </c>
      <c r="G407" s="5">
        <v>68</v>
      </c>
      <c r="H407" s="5">
        <f t="shared" si="12"/>
        <v>4.219507705176107</v>
      </c>
      <c r="I407" s="5">
        <v>15</v>
      </c>
      <c r="J407" s="5">
        <v>2</v>
      </c>
      <c r="K407" s="5">
        <v>6</v>
      </c>
      <c r="L407" s="6">
        <f t="shared" si="13"/>
        <v>0.33333333333333331</v>
      </c>
      <c r="M407" s="5"/>
      <c r="N407" s="5" t="s">
        <v>61</v>
      </c>
      <c r="O407" s="5">
        <v>1</v>
      </c>
      <c r="P407" s="5">
        <v>75000000</v>
      </c>
      <c r="Q407" s="7" t="s">
        <v>982</v>
      </c>
      <c r="R407" s="5" t="s">
        <v>37</v>
      </c>
      <c r="S407" s="5">
        <v>3</v>
      </c>
      <c r="T407" s="5">
        <v>2</v>
      </c>
      <c r="U407" s="5">
        <v>3.7</v>
      </c>
      <c r="V407" s="11" t="s">
        <v>31</v>
      </c>
      <c r="W407" s="5">
        <v>2</v>
      </c>
      <c r="X407" s="5">
        <v>0</v>
      </c>
      <c r="Y407" s="5" t="s">
        <v>983</v>
      </c>
      <c r="AA407" s="8">
        <v>46312</v>
      </c>
    </row>
    <row r="408" spans="1:27" ht="409.5" customHeight="1" x14ac:dyDescent="0.2">
      <c r="A408" s="5">
        <v>407</v>
      </c>
      <c r="B408" s="5">
        <v>334826963</v>
      </c>
      <c r="C408" s="5">
        <v>4</v>
      </c>
      <c r="D408" s="5" t="s">
        <v>349</v>
      </c>
      <c r="E408" s="5">
        <v>3</v>
      </c>
      <c r="F408" s="5" t="s">
        <v>364</v>
      </c>
      <c r="G408" s="5">
        <v>124</v>
      </c>
      <c r="H408" s="5">
        <f t="shared" si="12"/>
        <v>4.8202815656050371</v>
      </c>
      <c r="I408" s="5">
        <v>86</v>
      </c>
      <c r="J408" s="5">
        <v>6</v>
      </c>
      <c r="K408" s="5">
        <v>8</v>
      </c>
      <c r="L408" s="6">
        <f t="shared" si="13"/>
        <v>0.75</v>
      </c>
      <c r="M408" s="5" t="s">
        <v>28</v>
      </c>
      <c r="N408" s="5" t="s">
        <v>61</v>
      </c>
      <c r="O408" s="5">
        <v>1</v>
      </c>
      <c r="P408" s="5">
        <v>96000000</v>
      </c>
      <c r="Q408" s="7" t="s">
        <v>984</v>
      </c>
      <c r="R408" s="5" t="s">
        <v>30</v>
      </c>
      <c r="S408" s="5">
        <v>2</v>
      </c>
      <c r="T408" s="5">
        <v>1</v>
      </c>
      <c r="U408" s="5"/>
      <c r="V408" s="5"/>
      <c r="W408" s="5"/>
      <c r="X408" s="5">
        <v>0</v>
      </c>
      <c r="Y408" s="5" t="s">
        <v>985</v>
      </c>
      <c r="AA408" s="8">
        <v>46312</v>
      </c>
    </row>
    <row r="409" spans="1:27" ht="409.5" customHeight="1" x14ac:dyDescent="0.2">
      <c r="A409" s="5">
        <v>408</v>
      </c>
      <c r="B409" s="5">
        <v>332798252</v>
      </c>
      <c r="C409" s="5">
        <v>1</v>
      </c>
      <c r="D409" s="5" t="s">
        <v>349</v>
      </c>
      <c r="E409" s="5">
        <v>12</v>
      </c>
      <c r="F409" s="5" t="s">
        <v>986</v>
      </c>
      <c r="G409" s="5">
        <v>30</v>
      </c>
      <c r="H409" s="5">
        <f t="shared" si="12"/>
        <v>3.4011973816621555</v>
      </c>
      <c r="I409" s="5">
        <v>16</v>
      </c>
      <c r="J409" s="5">
        <v>1</v>
      </c>
      <c r="K409" s="5">
        <v>5</v>
      </c>
      <c r="L409" s="6">
        <f t="shared" si="13"/>
        <v>0.2</v>
      </c>
      <c r="M409" s="5" t="s">
        <v>28</v>
      </c>
      <c r="N409" s="5" t="s">
        <v>67</v>
      </c>
      <c r="O409" s="5">
        <v>1</v>
      </c>
      <c r="P409" s="5">
        <v>25000000</v>
      </c>
      <c r="Q409" s="7" t="s">
        <v>987</v>
      </c>
      <c r="R409" s="5" t="s">
        <v>30</v>
      </c>
      <c r="S409" s="5">
        <v>2</v>
      </c>
      <c r="T409" s="5">
        <v>1</v>
      </c>
      <c r="U409" s="5">
        <v>3.2</v>
      </c>
      <c r="V409" s="11" t="s">
        <v>38</v>
      </c>
      <c r="W409" s="5">
        <v>1</v>
      </c>
      <c r="X409" s="5">
        <v>0</v>
      </c>
      <c r="Y409" s="5" t="s">
        <v>988</v>
      </c>
      <c r="AA409" s="8">
        <v>46312</v>
      </c>
    </row>
    <row r="410" spans="1:27" ht="409.5" customHeight="1" x14ac:dyDescent="0.2">
      <c r="A410" s="5">
        <v>409</v>
      </c>
      <c r="B410" s="5">
        <v>334901189</v>
      </c>
      <c r="C410" s="5">
        <v>4</v>
      </c>
      <c r="D410" s="5" t="s">
        <v>349</v>
      </c>
      <c r="E410" s="5">
        <v>5</v>
      </c>
      <c r="F410" s="5" t="s">
        <v>425</v>
      </c>
      <c r="G410" s="5">
        <v>85</v>
      </c>
      <c r="H410" s="5">
        <f t="shared" si="12"/>
        <v>4.4426512564903167</v>
      </c>
      <c r="I410" s="5">
        <v>57</v>
      </c>
      <c r="J410" s="5">
        <v>2</v>
      </c>
      <c r="K410" s="5">
        <v>3</v>
      </c>
      <c r="L410" s="6">
        <f t="shared" si="13"/>
        <v>0.66666666666666663</v>
      </c>
      <c r="M410" s="5" t="s">
        <v>28</v>
      </c>
      <c r="N410" s="5" t="s">
        <v>61</v>
      </c>
      <c r="O410" s="5">
        <v>1</v>
      </c>
      <c r="P410" s="5">
        <v>41500000</v>
      </c>
      <c r="Q410" s="7" t="s">
        <v>426</v>
      </c>
      <c r="R410" s="5" t="s">
        <v>30</v>
      </c>
      <c r="S410" s="5">
        <v>2</v>
      </c>
      <c r="T410" s="5">
        <v>2</v>
      </c>
      <c r="U410" s="5">
        <v>3</v>
      </c>
      <c r="V410" s="11" t="s">
        <v>38</v>
      </c>
      <c r="W410" s="5">
        <v>1</v>
      </c>
      <c r="X410" s="5">
        <v>0</v>
      </c>
      <c r="Y410" s="5" t="s">
        <v>989</v>
      </c>
      <c r="AA410" s="8">
        <v>46312</v>
      </c>
    </row>
    <row r="411" spans="1:27" ht="409.5" customHeight="1" x14ac:dyDescent="0.2">
      <c r="A411" s="5">
        <v>410</v>
      </c>
      <c r="B411" s="5">
        <v>334428205</v>
      </c>
      <c r="C411" s="5">
        <v>2</v>
      </c>
      <c r="D411" s="5" t="s">
        <v>349</v>
      </c>
      <c r="E411" s="5">
        <v>5</v>
      </c>
      <c r="F411" s="5" t="s">
        <v>990</v>
      </c>
      <c r="G411" s="5">
        <v>41</v>
      </c>
      <c r="H411" s="5">
        <f t="shared" si="12"/>
        <v>3.713572066704308</v>
      </c>
      <c r="I411" s="5">
        <v>30</v>
      </c>
      <c r="J411" s="5">
        <v>2</v>
      </c>
      <c r="K411" s="5">
        <v>2</v>
      </c>
      <c r="L411" s="6">
        <f t="shared" si="13"/>
        <v>1</v>
      </c>
      <c r="M411" s="5" t="s">
        <v>28</v>
      </c>
      <c r="N411" s="5" t="s">
        <v>61</v>
      </c>
      <c r="O411" s="5">
        <v>1</v>
      </c>
      <c r="P411" s="5">
        <v>30700000</v>
      </c>
      <c r="Q411" s="7" t="s">
        <v>991</v>
      </c>
      <c r="R411" s="5" t="s">
        <v>41</v>
      </c>
      <c r="S411" s="5">
        <v>0</v>
      </c>
      <c r="T411" s="5">
        <v>1</v>
      </c>
      <c r="U411" s="5"/>
      <c r="V411" s="5"/>
      <c r="W411" s="5"/>
      <c r="X411" s="5">
        <v>0</v>
      </c>
      <c r="Y411" s="5" t="s">
        <v>992</v>
      </c>
      <c r="AA411" s="8">
        <v>46312</v>
      </c>
    </row>
    <row r="412" spans="1:27" ht="409.5" customHeight="1" x14ac:dyDescent="0.2">
      <c r="A412" s="5">
        <v>411</v>
      </c>
      <c r="B412" s="5">
        <v>333056782</v>
      </c>
      <c r="C412" s="5">
        <v>1</v>
      </c>
      <c r="D412" s="5" t="s">
        <v>349</v>
      </c>
      <c r="E412" s="5">
        <v>5</v>
      </c>
      <c r="F412" s="5" t="s">
        <v>990</v>
      </c>
      <c r="G412" s="5">
        <v>25</v>
      </c>
      <c r="H412" s="5">
        <f t="shared" si="12"/>
        <v>3.2188758248682006</v>
      </c>
      <c r="I412" s="5">
        <v>18</v>
      </c>
      <c r="J412" s="5">
        <v>2</v>
      </c>
      <c r="K412" s="5">
        <v>2</v>
      </c>
      <c r="L412" s="6">
        <f t="shared" si="13"/>
        <v>1</v>
      </c>
      <c r="M412" s="5" t="s">
        <v>28</v>
      </c>
      <c r="N412" s="5" t="s">
        <v>61</v>
      </c>
      <c r="O412" s="5">
        <v>1</v>
      </c>
      <c r="P412" s="5">
        <v>19600000</v>
      </c>
      <c r="Q412" s="7" t="s">
        <v>991</v>
      </c>
      <c r="R412" s="5" t="s">
        <v>41</v>
      </c>
      <c r="S412" s="5">
        <v>0</v>
      </c>
      <c r="T412" s="5">
        <v>1</v>
      </c>
      <c r="U412" s="5"/>
      <c r="V412" s="5"/>
      <c r="W412" s="5"/>
      <c r="X412" s="5">
        <v>0</v>
      </c>
      <c r="Y412" s="5" t="s">
        <v>993</v>
      </c>
      <c r="AA412" s="8">
        <v>46312</v>
      </c>
    </row>
    <row r="413" spans="1:27" ht="409.5" customHeight="1" x14ac:dyDescent="0.2">
      <c r="A413" s="5">
        <v>412</v>
      </c>
      <c r="B413" s="5">
        <v>334193476</v>
      </c>
      <c r="C413" s="5">
        <v>3</v>
      </c>
      <c r="D413" s="5" t="s">
        <v>349</v>
      </c>
      <c r="E413" s="5">
        <v>6</v>
      </c>
      <c r="F413" s="5" t="s">
        <v>414</v>
      </c>
      <c r="G413" s="5">
        <v>71</v>
      </c>
      <c r="H413" s="5">
        <f t="shared" si="12"/>
        <v>4.2626798770413155</v>
      </c>
      <c r="I413" s="5"/>
      <c r="J413" s="5">
        <v>2</v>
      </c>
      <c r="K413" s="5">
        <v>6</v>
      </c>
      <c r="L413" s="6">
        <f t="shared" si="13"/>
        <v>0.33333333333333331</v>
      </c>
      <c r="M413" s="5"/>
      <c r="N413" s="5"/>
      <c r="O413" s="5">
        <v>0</v>
      </c>
      <c r="P413" s="5">
        <v>45999999</v>
      </c>
      <c r="Q413" s="7" t="s">
        <v>994</v>
      </c>
      <c r="R413" s="5"/>
      <c r="S413" s="5"/>
      <c r="T413" s="5"/>
      <c r="U413" s="5"/>
      <c r="V413" s="5"/>
      <c r="W413" s="5"/>
      <c r="X413" s="5">
        <v>0</v>
      </c>
      <c r="Y413" s="5" t="s">
        <v>995</v>
      </c>
      <c r="AA413" s="8">
        <v>46312</v>
      </c>
    </row>
    <row r="414" spans="1:27" ht="409.5" customHeight="1" x14ac:dyDescent="0.2">
      <c r="A414" s="5">
        <v>413</v>
      </c>
      <c r="B414" s="5">
        <v>333128008</v>
      </c>
      <c r="C414" s="5">
        <v>1</v>
      </c>
      <c r="D414" s="5" t="s">
        <v>349</v>
      </c>
      <c r="E414" s="5">
        <v>4</v>
      </c>
      <c r="F414" s="5" t="s">
        <v>403</v>
      </c>
      <c r="G414" s="5">
        <v>31</v>
      </c>
      <c r="H414" s="5">
        <f t="shared" si="12"/>
        <v>3.4339872044851463</v>
      </c>
      <c r="I414" s="5"/>
      <c r="J414" s="5">
        <v>2</v>
      </c>
      <c r="K414" s="5">
        <v>5</v>
      </c>
      <c r="L414" s="6">
        <f t="shared" si="13"/>
        <v>0.4</v>
      </c>
      <c r="M414" s="5" t="s">
        <v>28</v>
      </c>
      <c r="N414" s="5" t="s">
        <v>61</v>
      </c>
      <c r="O414" s="5">
        <v>1</v>
      </c>
      <c r="P414" s="5">
        <v>22000000</v>
      </c>
      <c r="Q414" s="7" t="s">
        <v>996</v>
      </c>
      <c r="R414" s="5" t="s">
        <v>41</v>
      </c>
      <c r="S414" s="5">
        <v>0</v>
      </c>
      <c r="T414" s="5">
        <v>1</v>
      </c>
      <c r="U414" s="5">
        <v>3.4</v>
      </c>
      <c r="V414" s="11" t="s">
        <v>38</v>
      </c>
      <c r="W414" s="5">
        <v>1</v>
      </c>
      <c r="X414" s="5">
        <v>0</v>
      </c>
      <c r="Y414" s="5" t="s">
        <v>997</v>
      </c>
      <c r="AA414" s="8">
        <v>46312</v>
      </c>
    </row>
    <row r="415" spans="1:27" ht="409.5" customHeight="1" x14ac:dyDescent="0.2">
      <c r="A415" s="5">
        <v>414</v>
      </c>
      <c r="B415" s="5">
        <v>333127922</v>
      </c>
      <c r="C415" s="5">
        <v>1</v>
      </c>
      <c r="D415" s="5" t="s">
        <v>349</v>
      </c>
      <c r="E415" s="5">
        <v>4</v>
      </c>
      <c r="F415" s="5" t="s">
        <v>403</v>
      </c>
      <c r="G415" s="5">
        <v>15</v>
      </c>
      <c r="H415" s="5">
        <f t="shared" si="12"/>
        <v>2.7080502011022101</v>
      </c>
      <c r="I415" s="5"/>
      <c r="J415" s="5">
        <v>2</v>
      </c>
      <c r="K415" s="5">
        <v>5</v>
      </c>
      <c r="L415" s="6">
        <f t="shared" si="13"/>
        <v>0.4</v>
      </c>
      <c r="M415" s="5" t="s">
        <v>28</v>
      </c>
      <c r="N415" s="5" t="s">
        <v>61</v>
      </c>
      <c r="O415" s="5">
        <v>1</v>
      </c>
      <c r="P415" s="5">
        <v>14250000</v>
      </c>
      <c r="Q415" s="7" t="s">
        <v>996</v>
      </c>
      <c r="R415" s="5" t="s">
        <v>41</v>
      </c>
      <c r="S415" s="5">
        <v>0</v>
      </c>
      <c r="T415" s="5">
        <v>1</v>
      </c>
      <c r="U415" s="5">
        <v>3.4</v>
      </c>
      <c r="V415" s="11" t="s">
        <v>38</v>
      </c>
      <c r="W415" s="5">
        <v>1</v>
      </c>
      <c r="X415" s="5">
        <v>0</v>
      </c>
      <c r="Y415" s="5" t="s">
        <v>998</v>
      </c>
      <c r="AA415" s="8">
        <v>46312</v>
      </c>
    </row>
    <row r="416" spans="1:27" ht="409.5" customHeight="1" x14ac:dyDescent="0.2">
      <c r="A416" s="5">
        <v>415</v>
      </c>
      <c r="B416" s="5">
        <v>332147139</v>
      </c>
      <c r="C416" s="5">
        <v>3</v>
      </c>
      <c r="D416" s="5" t="s">
        <v>349</v>
      </c>
      <c r="E416" s="5">
        <v>11</v>
      </c>
      <c r="F416" s="5" t="s">
        <v>999</v>
      </c>
      <c r="G416" s="5">
        <v>51.6</v>
      </c>
      <c r="H416" s="5">
        <f t="shared" si="12"/>
        <v>3.9435216724875173</v>
      </c>
      <c r="I416" s="5"/>
      <c r="J416" s="5">
        <v>6</v>
      </c>
      <c r="K416" s="5">
        <v>7</v>
      </c>
      <c r="L416" s="6">
        <f t="shared" si="13"/>
        <v>0.8571428571428571</v>
      </c>
      <c r="M416" s="5"/>
      <c r="N416" s="5" t="s">
        <v>61</v>
      </c>
      <c r="O416" s="5">
        <v>1</v>
      </c>
      <c r="P416" s="5">
        <v>42000000</v>
      </c>
      <c r="Q416" s="7" t="s">
        <v>1000</v>
      </c>
      <c r="R416" s="5" t="s">
        <v>41</v>
      </c>
      <c r="S416" s="5">
        <v>0</v>
      </c>
      <c r="T416" s="5">
        <v>1</v>
      </c>
      <c r="U416" s="5">
        <v>3.2</v>
      </c>
      <c r="V416" s="11" t="s">
        <v>38</v>
      </c>
      <c r="W416" s="5">
        <v>1</v>
      </c>
      <c r="X416" s="5">
        <v>0</v>
      </c>
      <c r="Y416" s="5" t="s">
        <v>1001</v>
      </c>
      <c r="AA416" s="8">
        <v>46312</v>
      </c>
    </row>
    <row r="417" spans="1:27" ht="409.5" customHeight="1" x14ac:dyDescent="0.2">
      <c r="A417" s="5">
        <v>416</v>
      </c>
      <c r="B417" s="5">
        <v>333101838</v>
      </c>
      <c r="C417" s="5">
        <v>2</v>
      </c>
      <c r="D417" s="5" t="s">
        <v>349</v>
      </c>
      <c r="E417" s="5">
        <v>3</v>
      </c>
      <c r="F417" s="5" t="s">
        <v>379</v>
      </c>
      <c r="G417" s="5">
        <v>70</v>
      </c>
      <c r="H417" s="5">
        <f t="shared" si="12"/>
        <v>4.2484952420493594</v>
      </c>
      <c r="I417" s="5">
        <v>40</v>
      </c>
      <c r="J417" s="5">
        <v>6</v>
      </c>
      <c r="K417" s="5">
        <v>6</v>
      </c>
      <c r="L417" s="6">
        <f t="shared" si="13"/>
        <v>1</v>
      </c>
      <c r="M417" s="5"/>
      <c r="N417" s="5" t="s">
        <v>61</v>
      </c>
      <c r="O417" s="5">
        <v>1</v>
      </c>
      <c r="P417" s="5">
        <v>74000000</v>
      </c>
      <c r="Q417" s="7" t="s">
        <v>1002</v>
      </c>
      <c r="R417" s="5" t="s">
        <v>37</v>
      </c>
      <c r="S417" s="5">
        <v>3</v>
      </c>
      <c r="T417" s="5">
        <v>1</v>
      </c>
      <c r="U417" s="5">
        <v>3.5</v>
      </c>
      <c r="V417" s="11" t="s">
        <v>38</v>
      </c>
      <c r="W417" s="5">
        <v>1</v>
      </c>
      <c r="X417" s="5">
        <v>0</v>
      </c>
      <c r="Y417" s="5" t="s">
        <v>1003</v>
      </c>
      <c r="AA417" s="8">
        <v>46312</v>
      </c>
    </row>
    <row r="418" spans="1:27" ht="409.5" customHeight="1" x14ac:dyDescent="0.2">
      <c r="A418" s="5">
        <v>417</v>
      </c>
      <c r="B418" s="5">
        <v>330091005</v>
      </c>
      <c r="C418" s="5">
        <v>0</v>
      </c>
      <c r="D418" s="5" t="s">
        <v>349</v>
      </c>
      <c r="E418" s="5">
        <v>5</v>
      </c>
      <c r="F418" s="5" t="s">
        <v>370</v>
      </c>
      <c r="G418" s="5">
        <v>20.5</v>
      </c>
      <c r="H418" s="5">
        <f t="shared" si="12"/>
        <v>3.0204248861443626</v>
      </c>
      <c r="I418" s="5"/>
      <c r="J418" s="5">
        <v>3</v>
      </c>
      <c r="K418" s="5">
        <v>7</v>
      </c>
      <c r="L418" s="6">
        <f t="shared" si="13"/>
        <v>0.42857142857142855</v>
      </c>
      <c r="M418" s="5" t="s">
        <v>28</v>
      </c>
      <c r="N418" s="5"/>
      <c r="O418" s="5">
        <v>0</v>
      </c>
      <c r="P418" s="5">
        <v>17200000</v>
      </c>
      <c r="Q418" s="7" t="s">
        <v>1004</v>
      </c>
      <c r="R418" s="5" t="s">
        <v>37</v>
      </c>
      <c r="S418" s="5">
        <v>3</v>
      </c>
      <c r="T418" s="5">
        <v>1</v>
      </c>
      <c r="U418" s="5">
        <v>3.7</v>
      </c>
      <c r="V418" s="11" t="s">
        <v>31</v>
      </c>
      <c r="W418" s="5">
        <v>2</v>
      </c>
      <c r="X418" s="5">
        <v>0</v>
      </c>
      <c r="Y418" s="5" t="s">
        <v>1005</v>
      </c>
      <c r="AA418" s="8">
        <v>46312</v>
      </c>
    </row>
    <row r="419" spans="1:27" ht="409.5" customHeight="1" x14ac:dyDescent="0.2">
      <c r="A419" s="5">
        <v>418</v>
      </c>
      <c r="B419" s="5">
        <v>334872233</v>
      </c>
      <c r="C419" s="5">
        <v>6</v>
      </c>
      <c r="D419" s="5" t="s">
        <v>349</v>
      </c>
      <c r="E419" s="5">
        <v>5</v>
      </c>
      <c r="F419" s="5" t="s">
        <v>370</v>
      </c>
      <c r="G419" s="5">
        <v>152</v>
      </c>
      <c r="H419" s="5">
        <f t="shared" si="12"/>
        <v>5.0238805208462765</v>
      </c>
      <c r="I419" s="5">
        <v>113.2</v>
      </c>
      <c r="J419" s="5">
        <v>6</v>
      </c>
      <c r="K419" s="5">
        <v>7</v>
      </c>
      <c r="L419" s="6">
        <f t="shared" si="13"/>
        <v>0.8571428571428571</v>
      </c>
      <c r="M419" s="5" t="s">
        <v>28</v>
      </c>
      <c r="N419" s="5" t="s">
        <v>61</v>
      </c>
      <c r="O419" s="5">
        <v>1</v>
      </c>
      <c r="P419" s="5">
        <v>125000000</v>
      </c>
      <c r="Q419" s="7" t="s">
        <v>1006</v>
      </c>
      <c r="R419" s="5" t="s">
        <v>41</v>
      </c>
      <c r="S419" s="5">
        <v>0</v>
      </c>
      <c r="T419" s="5">
        <v>1</v>
      </c>
      <c r="U419" s="5">
        <v>3.7</v>
      </c>
      <c r="V419" s="11" t="s">
        <v>31</v>
      </c>
      <c r="W419" s="5">
        <v>2</v>
      </c>
      <c r="X419" s="5">
        <v>0</v>
      </c>
      <c r="Y419" s="5" t="s">
        <v>1007</v>
      </c>
      <c r="AA419" s="8">
        <v>46312</v>
      </c>
    </row>
    <row r="420" spans="1:27" ht="409.5" customHeight="1" x14ac:dyDescent="0.2">
      <c r="A420" s="5">
        <v>419</v>
      </c>
      <c r="B420" s="5">
        <v>333219752</v>
      </c>
      <c r="C420" s="5">
        <v>3</v>
      </c>
      <c r="D420" s="5" t="s">
        <v>349</v>
      </c>
      <c r="E420" s="5">
        <v>5</v>
      </c>
      <c r="F420" s="5" t="s">
        <v>367</v>
      </c>
      <c r="G420" s="5">
        <v>107</v>
      </c>
      <c r="H420" s="5">
        <f t="shared" si="12"/>
        <v>4.6728288344619058</v>
      </c>
      <c r="I420" s="5">
        <v>62</v>
      </c>
      <c r="J420" s="5">
        <v>6</v>
      </c>
      <c r="K420" s="5">
        <v>6</v>
      </c>
      <c r="L420" s="6">
        <f t="shared" si="13"/>
        <v>1</v>
      </c>
      <c r="M420" s="5" t="s">
        <v>28</v>
      </c>
      <c r="N420" s="5" t="s">
        <v>61</v>
      </c>
      <c r="O420" s="5">
        <v>1</v>
      </c>
      <c r="P420" s="5">
        <v>97000000</v>
      </c>
      <c r="Q420" s="7" t="s">
        <v>1008</v>
      </c>
      <c r="R420" s="5" t="s">
        <v>37</v>
      </c>
      <c r="S420" s="5">
        <v>3</v>
      </c>
      <c r="T420" s="5">
        <v>1</v>
      </c>
      <c r="U420" s="5">
        <v>3.7</v>
      </c>
      <c r="V420" s="11" t="s">
        <v>31</v>
      </c>
      <c r="W420" s="5">
        <v>2</v>
      </c>
      <c r="X420" s="5">
        <v>0</v>
      </c>
      <c r="Y420" s="5" t="s">
        <v>1009</v>
      </c>
      <c r="AA420" s="8">
        <v>46312</v>
      </c>
    </row>
    <row r="421" spans="1:27" ht="409.5" customHeight="1" x14ac:dyDescent="0.2">
      <c r="A421" s="5">
        <v>420</v>
      </c>
      <c r="B421" s="5">
        <v>331744996</v>
      </c>
      <c r="C421" s="5">
        <v>3</v>
      </c>
      <c r="D421" s="5" t="s">
        <v>1010</v>
      </c>
      <c r="E421" s="5">
        <v>10</v>
      </c>
      <c r="F421" s="5" t="s">
        <v>1011</v>
      </c>
      <c r="G421" s="5">
        <v>79.8</v>
      </c>
      <c r="H421" s="5">
        <f t="shared" si="12"/>
        <v>4.3795235044557632</v>
      </c>
      <c r="I421" s="5">
        <v>48.3</v>
      </c>
      <c r="J421" s="5">
        <v>3</v>
      </c>
      <c r="K421" s="5">
        <v>6</v>
      </c>
      <c r="L421" s="6">
        <f t="shared" si="13"/>
        <v>0.5</v>
      </c>
      <c r="M421" s="5" t="s">
        <v>28</v>
      </c>
      <c r="N421" s="5" t="s">
        <v>61</v>
      </c>
      <c r="O421" s="5">
        <v>1</v>
      </c>
      <c r="P421" s="5">
        <v>55500000</v>
      </c>
      <c r="Q421" s="7" t="s">
        <v>1012</v>
      </c>
      <c r="R421" s="5" t="s">
        <v>37</v>
      </c>
      <c r="S421" s="5">
        <v>3</v>
      </c>
      <c r="T421" s="5">
        <v>1</v>
      </c>
      <c r="U421" s="5">
        <v>3.15</v>
      </c>
      <c r="V421" s="11" t="s">
        <v>38</v>
      </c>
      <c r="W421" s="5">
        <v>1</v>
      </c>
      <c r="X421" s="5">
        <v>0</v>
      </c>
      <c r="Y421" s="5" t="s">
        <v>1013</v>
      </c>
      <c r="AA421" s="8">
        <v>46312</v>
      </c>
    </row>
    <row r="422" spans="1:27" ht="409.5" customHeight="1" x14ac:dyDescent="0.2">
      <c r="A422" s="5">
        <v>421</v>
      </c>
      <c r="B422" s="5">
        <v>333021402</v>
      </c>
      <c r="C422" s="5">
        <v>3</v>
      </c>
      <c r="D422" s="5" t="s">
        <v>1010</v>
      </c>
      <c r="E422" s="5">
        <v>10</v>
      </c>
      <c r="F422" s="5" t="s">
        <v>883</v>
      </c>
      <c r="G422" s="5">
        <v>90</v>
      </c>
      <c r="H422" s="5">
        <f t="shared" si="12"/>
        <v>4.499809670330265</v>
      </c>
      <c r="I422" s="5"/>
      <c r="J422" s="5">
        <v>4</v>
      </c>
      <c r="K422" s="5">
        <v>4</v>
      </c>
      <c r="L422" s="6">
        <f t="shared" si="13"/>
        <v>1</v>
      </c>
      <c r="M422" s="5" t="s">
        <v>28</v>
      </c>
      <c r="N422" s="5" t="s">
        <v>61</v>
      </c>
      <c r="O422" s="5">
        <v>1</v>
      </c>
      <c r="P422" s="5">
        <v>59500000</v>
      </c>
      <c r="Q422" s="7" t="s">
        <v>1014</v>
      </c>
      <c r="R422" s="5"/>
      <c r="S422" s="5"/>
      <c r="T422" s="5">
        <v>1</v>
      </c>
      <c r="U422" s="5">
        <v>3.3</v>
      </c>
      <c r="V422" s="11" t="s">
        <v>38</v>
      </c>
      <c r="W422" s="5">
        <v>1</v>
      </c>
      <c r="X422" s="5">
        <v>0</v>
      </c>
      <c r="Y422" s="5" t="s">
        <v>1015</v>
      </c>
      <c r="AA422" s="8">
        <v>46312</v>
      </c>
    </row>
    <row r="423" spans="1:27" ht="409.5" customHeight="1" x14ac:dyDescent="0.2">
      <c r="A423" s="5">
        <v>422</v>
      </c>
      <c r="B423" s="5">
        <v>321672655</v>
      </c>
      <c r="C423" s="5">
        <v>3</v>
      </c>
      <c r="D423" s="5" t="s">
        <v>349</v>
      </c>
      <c r="E423" s="5">
        <v>12</v>
      </c>
      <c r="F423" s="5" t="s">
        <v>986</v>
      </c>
      <c r="G423" s="5">
        <v>65.400000000000006</v>
      </c>
      <c r="H423" s="5">
        <f t="shared" si="12"/>
        <v>4.180522258463153</v>
      </c>
      <c r="I423" s="5">
        <v>45</v>
      </c>
      <c r="J423" s="5">
        <v>4</v>
      </c>
      <c r="K423" s="5">
        <v>5</v>
      </c>
      <c r="L423" s="6">
        <f t="shared" si="13"/>
        <v>0.8</v>
      </c>
      <c r="M423" s="5"/>
      <c r="N423" s="5"/>
      <c r="O423" s="5">
        <v>0</v>
      </c>
      <c r="P423" s="5">
        <v>65000000</v>
      </c>
      <c r="Q423" s="7" t="s">
        <v>1016</v>
      </c>
      <c r="R423" s="5" t="s">
        <v>37</v>
      </c>
      <c r="S423" s="5">
        <v>3</v>
      </c>
      <c r="T423" s="5">
        <v>1</v>
      </c>
      <c r="U423" s="5">
        <v>4.0999999999999996</v>
      </c>
      <c r="V423" s="11" t="s">
        <v>31</v>
      </c>
      <c r="W423" s="5">
        <v>2</v>
      </c>
      <c r="X423" s="5">
        <v>0</v>
      </c>
      <c r="Y423" s="5" t="s">
        <v>1017</v>
      </c>
      <c r="AA423" s="8">
        <v>46312</v>
      </c>
    </row>
    <row r="424" spans="1:27" ht="409.5" customHeight="1" x14ac:dyDescent="0.2"/>
    <row r="425" spans="1:27" ht="409.5" customHeight="1" x14ac:dyDescent="0.2"/>
    <row r="426" spans="1:27" ht="409.5" customHeight="1" x14ac:dyDescent="0.2"/>
    <row r="427" spans="1:27" ht="409.5" customHeight="1" x14ac:dyDescent="0.2"/>
    <row r="428" spans="1:27" ht="409.5" customHeight="1" x14ac:dyDescent="0.2"/>
    <row r="429" spans="1:27" ht="409.5" customHeight="1" x14ac:dyDescent="0.2"/>
    <row r="430" spans="1:27" ht="409.5" customHeight="1" x14ac:dyDescent="0.2"/>
    <row r="431" spans="1:27" ht="409.5" customHeight="1" x14ac:dyDescent="0.2"/>
    <row r="432" spans="1:27" ht="409.5" customHeight="1" x14ac:dyDescent="0.2"/>
    <row r="433" ht="409.5" customHeight="1" x14ac:dyDescent="0.2"/>
    <row r="434" ht="409.5" customHeight="1" x14ac:dyDescent="0.2"/>
    <row r="435" ht="409.5" customHeight="1" x14ac:dyDescent="0.2"/>
    <row r="436" ht="409.5" customHeight="1" x14ac:dyDescent="0.2"/>
    <row r="437" ht="409.5" customHeight="1" x14ac:dyDescent="0.2"/>
    <row r="438" ht="409.5" customHeight="1" x14ac:dyDescent="0.2"/>
    <row r="439" ht="409.5" customHeight="1" x14ac:dyDescent="0.2"/>
    <row r="440" ht="409.5" customHeight="1" x14ac:dyDescent="0.2"/>
    <row r="441" ht="409.5" customHeight="1" x14ac:dyDescent="0.2"/>
    <row r="442" ht="409.5" customHeight="1" x14ac:dyDescent="0.2"/>
    <row r="443" ht="409.5" customHeight="1" x14ac:dyDescent="0.2"/>
    <row r="444" ht="409.5" customHeight="1" x14ac:dyDescent="0.2"/>
    <row r="445" ht="409.5" customHeight="1" x14ac:dyDescent="0.2"/>
    <row r="446" ht="409.5" customHeight="1" x14ac:dyDescent="0.2"/>
    <row r="447" ht="409.5" customHeight="1" x14ac:dyDescent="0.2"/>
    <row r="448" ht="409.5" customHeight="1" x14ac:dyDescent="0.2"/>
    <row r="449" ht="409.5" customHeight="1" x14ac:dyDescent="0.2"/>
    <row r="450" ht="409.5" customHeight="1" x14ac:dyDescent="0.2"/>
    <row r="451" ht="409.5" customHeight="1" x14ac:dyDescent="0.2"/>
    <row r="452" ht="409.5" customHeight="1" x14ac:dyDescent="0.2"/>
    <row r="453" ht="409.5" customHeight="1" x14ac:dyDescent="0.2"/>
    <row r="454" ht="409.5" customHeight="1" x14ac:dyDescent="0.2"/>
    <row r="455" ht="409.5" customHeight="1" x14ac:dyDescent="0.2"/>
    <row r="456" ht="409.5" customHeight="1" x14ac:dyDescent="0.2"/>
    <row r="457" ht="409.5" customHeight="1" x14ac:dyDescent="0.2"/>
    <row r="458" ht="409.5" customHeight="1" x14ac:dyDescent="0.2"/>
    <row r="459" ht="409.5" customHeight="1" x14ac:dyDescent="0.2"/>
    <row r="460" ht="409.5" customHeight="1" x14ac:dyDescent="0.2"/>
    <row r="461" ht="409.5" customHeight="1" x14ac:dyDescent="0.2"/>
    <row r="462" ht="409.5" customHeight="1" x14ac:dyDescent="0.2"/>
    <row r="463" ht="409.5" customHeight="1" x14ac:dyDescent="0.2"/>
    <row r="464" ht="409.5" customHeight="1" x14ac:dyDescent="0.2"/>
    <row r="465" ht="409.5" customHeight="1" x14ac:dyDescent="0.2"/>
    <row r="466" ht="409.5" customHeight="1" x14ac:dyDescent="0.2"/>
    <row r="467" ht="409.5" customHeight="1" x14ac:dyDescent="0.2"/>
    <row r="468" ht="409.5" customHeight="1" x14ac:dyDescent="0.2"/>
    <row r="469" ht="409.5" customHeight="1" x14ac:dyDescent="0.2"/>
    <row r="470" ht="409.5" customHeight="1" x14ac:dyDescent="0.2"/>
    <row r="471" ht="409.5" customHeight="1" x14ac:dyDescent="0.2"/>
    <row r="472" ht="409.5" customHeight="1" x14ac:dyDescent="0.2"/>
    <row r="473" ht="409.5" customHeight="1" x14ac:dyDescent="0.2"/>
    <row r="474" ht="409.5" customHeight="1" x14ac:dyDescent="0.2"/>
    <row r="475" ht="409.5" customHeight="1" x14ac:dyDescent="0.2"/>
    <row r="476" ht="409.5" customHeight="1" x14ac:dyDescent="0.2"/>
    <row r="477" ht="409.5" customHeight="1" x14ac:dyDescent="0.2"/>
    <row r="478" ht="409.5" customHeight="1" x14ac:dyDescent="0.2"/>
    <row r="479" ht="409.5" customHeight="1" x14ac:dyDescent="0.2"/>
    <row r="480" ht="409.5" customHeight="1" x14ac:dyDescent="0.2"/>
    <row r="481" ht="409.5" customHeight="1" x14ac:dyDescent="0.2"/>
    <row r="482" ht="409.5" customHeight="1" x14ac:dyDescent="0.2"/>
    <row r="483" ht="409.5" customHeight="1" x14ac:dyDescent="0.2"/>
    <row r="484" ht="409.5" customHeight="1" x14ac:dyDescent="0.2"/>
    <row r="485" ht="409.5" customHeight="1" x14ac:dyDescent="0.2"/>
    <row r="486" ht="409.5" customHeight="1" x14ac:dyDescent="0.2"/>
    <row r="487" ht="409.5" customHeight="1" x14ac:dyDescent="0.2"/>
    <row r="488" ht="409.5" customHeight="1" x14ac:dyDescent="0.2"/>
    <row r="489" ht="409.5" customHeight="1" x14ac:dyDescent="0.2"/>
    <row r="490" ht="409.5" customHeight="1" x14ac:dyDescent="0.2"/>
    <row r="491" ht="409.5" customHeight="1" x14ac:dyDescent="0.2"/>
    <row r="492" ht="409.5" customHeight="1" x14ac:dyDescent="0.2"/>
    <row r="493" ht="409.5" customHeight="1" x14ac:dyDescent="0.2"/>
    <row r="494" ht="409.5" customHeight="1" x14ac:dyDescent="0.2"/>
    <row r="495" ht="409.5" customHeight="1" x14ac:dyDescent="0.2"/>
    <row r="496" ht="409.5" customHeight="1" x14ac:dyDescent="0.2"/>
    <row r="497" ht="409.5" customHeight="1" x14ac:dyDescent="0.2"/>
    <row r="498" ht="409.5" customHeight="1" x14ac:dyDescent="0.2"/>
    <row r="499" ht="409.5" customHeight="1" x14ac:dyDescent="0.2"/>
    <row r="500" ht="409.5" customHeight="1" x14ac:dyDescent="0.2"/>
    <row r="501" ht="409.5" customHeight="1" x14ac:dyDescent="0.2"/>
    <row r="502" ht="409.5" customHeight="1" x14ac:dyDescent="0.2"/>
    <row r="503" ht="409.5" customHeight="1" x14ac:dyDescent="0.2"/>
    <row r="504" ht="409.5" customHeight="1" x14ac:dyDescent="0.2"/>
    <row r="505" ht="409.5" customHeight="1" x14ac:dyDescent="0.2"/>
    <row r="506" ht="409.5" customHeight="1" x14ac:dyDescent="0.2"/>
    <row r="507" ht="409.5" customHeight="1" x14ac:dyDescent="0.2"/>
    <row r="508" ht="409.5" customHeight="1" x14ac:dyDescent="0.2"/>
    <row r="509" ht="409.5" customHeight="1" x14ac:dyDescent="0.2"/>
    <row r="510" ht="409.5" customHeight="1" x14ac:dyDescent="0.2"/>
    <row r="511" ht="409.5" customHeight="1" x14ac:dyDescent="0.2"/>
    <row r="512" ht="409.5" customHeight="1" x14ac:dyDescent="0.2"/>
    <row r="513" ht="409.5" customHeight="1" x14ac:dyDescent="0.2"/>
    <row r="514" ht="409.5" customHeight="1" x14ac:dyDescent="0.2"/>
    <row r="515" ht="409.5" customHeight="1" x14ac:dyDescent="0.2"/>
    <row r="516" ht="409.5" customHeight="1" x14ac:dyDescent="0.2"/>
    <row r="517" ht="409.5" customHeight="1" x14ac:dyDescent="0.2"/>
    <row r="518" ht="409.5" customHeight="1" x14ac:dyDescent="0.2"/>
    <row r="519" ht="409.5" customHeight="1" x14ac:dyDescent="0.2"/>
    <row r="520" ht="409.5" customHeight="1" x14ac:dyDescent="0.2"/>
    <row r="521" ht="409.5" customHeight="1" x14ac:dyDescent="0.2"/>
    <row r="522" ht="409.5" customHeight="1" x14ac:dyDescent="0.2"/>
    <row r="523" ht="409.5" customHeight="1" x14ac:dyDescent="0.2"/>
    <row r="524" ht="409.5" customHeight="1" x14ac:dyDescent="0.2"/>
    <row r="525" ht="409.5" customHeight="1" x14ac:dyDescent="0.2"/>
    <row r="526" ht="409.5" customHeight="1" x14ac:dyDescent="0.2"/>
  </sheetData>
  <hyperlinks>
    <hyperlink ref="W255" r:id="rId1" display="https://www.cian.ru/sale/flat/333437490" xr:uid="{00000000-0004-0000-0000-000000000000}"/>
    <hyperlink ref="W257" r:id="rId2" display="https://www.cian.ru/sale/flat/328450804" xr:uid="{00000000-0004-0000-0000-000001000000}"/>
    <hyperlink ref="W259" r:id="rId3" display="https://www.cian.ru/sale/flat/334577905" xr:uid="{00000000-0004-0000-0000-000002000000}"/>
    <hyperlink ref="W262" r:id="rId4" display="https://www.cian.ru/sale/flat/334003883" xr:uid="{00000000-0004-0000-0000-000003000000}"/>
    <hyperlink ref="W265" r:id="rId5" display="https://www.cian.ru/sale/flat/325560899" xr:uid="{00000000-0004-0000-0000-000004000000}"/>
    <hyperlink ref="W267" r:id="rId6" display="https://www.cian.ru/sale/flat/334971178" xr:uid="{00000000-0004-0000-0000-000005000000}"/>
    <hyperlink ref="W268" r:id="rId7" display="https://www.cian.ru/sale/flat/330850234" xr:uid="{00000000-0004-0000-0000-000006000000}"/>
    <hyperlink ref="W270" r:id="rId8" display="https://www.cian.ru/sale/flat/332437315" xr:uid="{00000000-0004-0000-0000-000007000000}"/>
    <hyperlink ref="W277" r:id="rId9" display="https://www.cian.ru/sale/flat/332759349" xr:uid="{00000000-0004-0000-0000-000008000000}"/>
    <hyperlink ref="W278" r:id="rId10" display="https://www.cian.ru/sale/flat/334573603" xr:uid="{00000000-0004-0000-0000-000009000000}"/>
    <hyperlink ref="W280" r:id="rId11" display="https://www.cian.ru/sale/flat/330392817" xr:uid="{00000000-0004-0000-0000-00000A000000}"/>
    <hyperlink ref="W281" r:id="rId12" display="https://www.cian.ru/sale/flat/321701079" xr:uid="{00000000-0004-0000-0000-00000B000000}"/>
    <hyperlink ref="W282" r:id="rId13" display="https://www.cian.ru/sale/flat/333497431" xr:uid="{00000000-0004-0000-0000-00000C000000}"/>
    <hyperlink ref="W283" r:id="rId14" display="https://www.cian.ru/sale/flat/315037765" xr:uid="{00000000-0004-0000-0000-00000D000000}"/>
    <hyperlink ref="W284" r:id="rId15" display="https://www.cian.ru/sale/flat/332909422" xr:uid="{00000000-0004-0000-0000-00000E000000}"/>
    <hyperlink ref="W285" r:id="rId16" display="https://www.cian.ru/sale/flat/332910840" xr:uid="{00000000-0004-0000-0000-00000F000000}"/>
    <hyperlink ref="W290" r:id="rId17" display="https://www.cian.ru/sale/flat/332205728" xr:uid="{00000000-0004-0000-0000-000010000000}"/>
    <hyperlink ref="W291" r:id="rId18" display="https://www.cian.ru/sale/flat/334518203" xr:uid="{00000000-0004-0000-0000-000011000000}"/>
    <hyperlink ref="W294" r:id="rId19" display="https://www.cian.ru/sale/flat/334668415" xr:uid="{00000000-0004-0000-0000-000012000000}"/>
    <hyperlink ref="W297" r:id="rId20" display="https://www.cian.ru/sale/flat/332908998" xr:uid="{00000000-0004-0000-0000-000013000000}"/>
    <hyperlink ref="W304" r:id="rId21" display="https://www.cian.ru/sale/flat/334403030" xr:uid="{00000000-0004-0000-0000-000014000000}"/>
    <hyperlink ref="W305" r:id="rId22" display="https://www.cian.ru/sale/flat/334418358" xr:uid="{00000000-0004-0000-0000-000015000000}"/>
    <hyperlink ref="W307" r:id="rId23" display="https://www.cian.ru/sale/flat/333091461" xr:uid="{00000000-0004-0000-0000-000016000000}"/>
    <hyperlink ref="W310" r:id="rId24" display="https://www.cian.ru/sale/flat/332950705" xr:uid="{00000000-0004-0000-0000-000017000000}"/>
    <hyperlink ref="W311" r:id="rId25" display="https://www.cian.ru/sale/flat/335012855" xr:uid="{00000000-0004-0000-0000-000018000000}"/>
    <hyperlink ref="W312" r:id="rId26" display="https://www.cian.ru/sale/flat/328450802" xr:uid="{00000000-0004-0000-0000-000019000000}"/>
    <hyperlink ref="W315" r:id="rId27" display="https://www.cian.ru/sale/flat/333263779" xr:uid="{00000000-0004-0000-0000-00001A000000}"/>
    <hyperlink ref="W318" r:id="rId28" display="https://www.cian.ru/sale/flat/334216703" xr:uid="{00000000-0004-0000-0000-00001B000000}"/>
    <hyperlink ref="W319" r:id="rId29" display="https://www.cian.ru/sale/flat/324623215" xr:uid="{00000000-0004-0000-0000-00001C000000}"/>
    <hyperlink ref="W320" r:id="rId30" display="https://www.cian.ru/sale/flat/327290040" xr:uid="{00000000-0004-0000-0000-00001D000000}"/>
    <hyperlink ref="W322" r:id="rId31" display="https://www.cian.ru/sale/flat/333336239" xr:uid="{00000000-0004-0000-0000-00001E000000}"/>
    <hyperlink ref="W323" r:id="rId32" display="https://www.cian.ru/sale/flat/334174258" xr:uid="{00000000-0004-0000-0000-00001F000000}"/>
    <hyperlink ref="W325" r:id="rId33" display="https://www.cian.ru/sale/flat/328052141" xr:uid="{00000000-0004-0000-0000-000020000000}"/>
    <hyperlink ref="W326" r:id="rId34" display="https://www.cian.ru/sale/flat/333736627" xr:uid="{00000000-0004-0000-0000-000021000000}"/>
    <hyperlink ref="W327" r:id="rId35" display="https://www.cian.ru/sale/flat/324878193" xr:uid="{00000000-0004-0000-0000-000022000000}"/>
    <hyperlink ref="W328" r:id="rId36" display="https://www.cian.ru/sale/flat/332880340" xr:uid="{00000000-0004-0000-0000-000023000000}"/>
    <hyperlink ref="W329" r:id="rId37" display="https://www.cian.ru/sale/flat/330445034" xr:uid="{00000000-0004-0000-0000-000024000000}"/>
    <hyperlink ref="W330" r:id="rId38" display="https://www.cian.ru/sale/flat/329878263" xr:uid="{00000000-0004-0000-0000-000025000000}"/>
    <hyperlink ref="W331" r:id="rId39" display="https://www.cian.ru/sale/flat/333460745" xr:uid="{00000000-0004-0000-0000-000026000000}"/>
    <hyperlink ref="W334" r:id="rId40" display="https://www.cian.ru/sale/flat/333734839" xr:uid="{00000000-0004-0000-0000-000027000000}"/>
    <hyperlink ref="W338" r:id="rId41" display="https://www.cian.ru/sale/flat/329229301" xr:uid="{00000000-0004-0000-0000-000028000000}"/>
    <hyperlink ref="W343" r:id="rId42" display="https://www.cian.ru/sale/flat/169514704" xr:uid="{00000000-0004-0000-0000-000029000000}"/>
    <hyperlink ref="W348" r:id="rId43" display="https://www.cian.ru/sale/flat/334540155" xr:uid="{00000000-0004-0000-0000-00002A000000}"/>
    <hyperlink ref="W350" r:id="rId44" display="https://www.cian.ru/sale/flat/313191706" xr:uid="{00000000-0004-0000-0000-00002B000000}"/>
    <hyperlink ref="W352" r:id="rId45" display="https://www.cian.ru/sale/flat/332470531" xr:uid="{00000000-0004-0000-0000-00002C000000}"/>
    <hyperlink ref="W353" r:id="rId46" display="https://www.cian.ru/sale/flat/333224352" xr:uid="{00000000-0004-0000-0000-00002D000000}"/>
    <hyperlink ref="W356" r:id="rId47" display="https://www.cian.ru/sale/flat/329101887" xr:uid="{00000000-0004-0000-0000-00002E000000}"/>
    <hyperlink ref="W359" r:id="rId48" display="https://www.cian.ru/sale/flat/328021618" xr:uid="{00000000-0004-0000-0000-00002F000000}"/>
    <hyperlink ref="W361" r:id="rId49" display="https://www.cian.ru/sale/flat/333119807" xr:uid="{00000000-0004-0000-0000-000030000000}"/>
    <hyperlink ref="W362" r:id="rId50" display="https://www.cian.ru/sale/flat/333015593" xr:uid="{00000000-0004-0000-0000-000031000000}"/>
    <hyperlink ref="W363" r:id="rId51" display="https://www.cian.ru/sale/flat/331362298" xr:uid="{00000000-0004-0000-0000-000032000000}"/>
    <hyperlink ref="W364" r:id="rId52" display="https://www.cian.ru/sale/flat/328656333" xr:uid="{00000000-0004-0000-0000-000033000000}"/>
    <hyperlink ref="W365" r:id="rId53" display="https://www.cian.ru/sale/flat/328717365" xr:uid="{00000000-0004-0000-0000-000034000000}"/>
    <hyperlink ref="W366" r:id="rId54" display="https://www.cian.ru/sale/flat/300189345" xr:uid="{00000000-0004-0000-0000-000035000000}"/>
    <hyperlink ref="W367" r:id="rId55" display="https://www.cian.ru/sale/flat/326582339" xr:uid="{00000000-0004-0000-0000-000036000000}"/>
    <hyperlink ref="W368" r:id="rId56" display="https://www.cian.ru/sale/flat/313916510" xr:uid="{00000000-0004-0000-0000-000037000000}"/>
    <hyperlink ref="W369" r:id="rId57" display="https://www.cian.ru/sale/flat/333793563" xr:uid="{00000000-0004-0000-0000-000038000000}"/>
    <hyperlink ref="W370" r:id="rId58" display="https://www.cian.ru/sale/flat/334577799" xr:uid="{00000000-0004-0000-0000-000039000000}"/>
    <hyperlink ref="W372" r:id="rId59" display="https://www.cian.ru/sale/flat/334575608" xr:uid="{00000000-0004-0000-0000-00003A000000}"/>
    <hyperlink ref="W373" r:id="rId60" display="https://www.cian.ru/sale/flat/334575523" xr:uid="{00000000-0004-0000-0000-00003B000000}"/>
    <hyperlink ref="W374" r:id="rId61" display="https://www.cian.ru/sale/flat/334575374" xr:uid="{00000000-0004-0000-0000-00003C000000}"/>
    <hyperlink ref="W375" r:id="rId62" display="https://www.cian.ru/sale/flat/334575318" xr:uid="{00000000-0004-0000-0000-00003D000000}"/>
    <hyperlink ref="W377" r:id="rId63" display="https://www.cian.ru/sale/flat/323390973" xr:uid="{00000000-0004-0000-0000-00003E000000}"/>
    <hyperlink ref="W379" r:id="rId64" display="https://www.cian.ru/sale/flat/334214012" xr:uid="{00000000-0004-0000-0000-00003F000000}"/>
    <hyperlink ref="W380" r:id="rId65" display="https://www.cian.ru/sale/flat/328760948" xr:uid="{00000000-0004-0000-0000-000040000000}"/>
    <hyperlink ref="W382" r:id="rId66" display="https://www.cian.ru/sale/flat/331327966" xr:uid="{00000000-0004-0000-0000-000041000000}"/>
    <hyperlink ref="W383" r:id="rId67" display="https://www.cian.ru/sale/flat/331228852" xr:uid="{00000000-0004-0000-0000-000042000000}"/>
    <hyperlink ref="W384" r:id="rId68" display="https://www.cian.ru/sale/flat/333843808" xr:uid="{00000000-0004-0000-0000-000043000000}"/>
    <hyperlink ref="W385" r:id="rId69" display="https://www.cian.ru/sale/flat/329883864" xr:uid="{00000000-0004-0000-0000-000044000000}"/>
    <hyperlink ref="W388" r:id="rId70" display="https://www.cian.ru/sale/flat/332805814" xr:uid="{00000000-0004-0000-0000-000045000000}"/>
    <hyperlink ref="W392" r:id="rId71" display="https://www.cian.ru/sale/flat/294650782" xr:uid="{00000000-0004-0000-0000-000046000000}"/>
    <hyperlink ref="W396" r:id="rId72" display="https://www.cian.ru/sale/flat/334529112" xr:uid="{00000000-0004-0000-0000-000047000000}"/>
    <hyperlink ref="W406" r:id="rId73" display="https://www.cian.ru/sale/flat/294674312" xr:uid="{00000000-0004-0000-0000-000048000000}"/>
    <hyperlink ref="W409" r:id="rId74" display="https://www.cian.ru/sale/flat/334376832" xr:uid="{00000000-0004-0000-0000-000049000000}"/>
    <hyperlink ref="W414" r:id="rId75" display="https://www.cian.ru/sale/flat/334516244" xr:uid="{00000000-0004-0000-0000-00004A000000}"/>
    <hyperlink ref="W415" r:id="rId76" display="https://www.cian.ru/sale/flat/332589940" xr:uid="{00000000-0004-0000-0000-00004B000000}"/>
    <hyperlink ref="W417" r:id="rId77" display="https://www.cian.ru/sale/flat/332186579" xr:uid="{00000000-0004-0000-0000-00004C000000}"/>
    <hyperlink ref="W418" r:id="rId78" display="https://www.cian.ru/sale/flat/332263786" xr:uid="{00000000-0004-0000-0000-00004D000000}"/>
    <hyperlink ref="W420" r:id="rId79" display="https://www.cian.ru/sale/flat/319813441" xr:uid="{00000000-0004-0000-0000-00004E000000}"/>
    <hyperlink ref="W421" r:id="rId80" display="https://www.cian.ru/sale/flat/325223955" xr:uid="{00000000-0004-0000-0000-00004F000000}"/>
    <hyperlink ref="W422" r:id="rId81" display="https://www.cian.ru/sale/flat/295103950" xr:uid="{00000000-0004-0000-0000-000050000000}"/>
    <hyperlink ref="W423" r:id="rId82" display="https://www.cian.ru/sale/flat/334698613" xr:uid="{00000000-0004-0000-0000-000051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zoomScaleNormal="100" workbookViewId="0"/>
  </sheetViews>
  <sheetFormatPr baseColWidth="10" defaultColWidth="8.6640625" defaultRowHeight="15" x14ac:dyDescent="0.2"/>
  <cols>
    <col min="1" max="1" width="26" customWidth="1"/>
    <col min="2" max="2" width="30" customWidth="1"/>
    <col min="3" max="3" width="8" customWidth="1"/>
    <col min="4" max="4" width="55" customWidth="1"/>
  </cols>
  <sheetData>
    <row r="1" spans="1:4" ht="15" customHeight="1" x14ac:dyDescent="0.2">
      <c r="A1" s="12" t="s">
        <v>1018</v>
      </c>
      <c r="B1" s="12" t="s">
        <v>1019</v>
      </c>
      <c r="C1" s="12" t="s">
        <v>1020</v>
      </c>
      <c r="D1" s="12" t="s">
        <v>1021</v>
      </c>
    </row>
    <row r="2" spans="1:4" ht="15" customHeight="1" x14ac:dyDescent="0.2">
      <c r="A2" s="5" t="s">
        <v>18</v>
      </c>
      <c r="B2" s="5" t="s">
        <v>41</v>
      </c>
      <c r="C2" s="5">
        <v>0</v>
      </c>
      <c r="D2" s="5"/>
    </row>
    <row r="3" spans="1:4" ht="15" customHeight="1" x14ac:dyDescent="0.2">
      <c r="A3" s="5" t="s">
        <v>18</v>
      </c>
      <c r="B3" s="5" t="s">
        <v>107</v>
      </c>
      <c r="C3" s="5">
        <v>1</v>
      </c>
      <c r="D3" s="5" t="s">
        <v>1022</v>
      </c>
    </row>
    <row r="4" spans="1:4" ht="15" customHeight="1" x14ac:dyDescent="0.2">
      <c r="A4" s="5" t="s">
        <v>18</v>
      </c>
      <c r="B4" s="5" t="s">
        <v>30</v>
      </c>
      <c r="C4" s="5">
        <v>2</v>
      </c>
      <c r="D4" s="5"/>
    </row>
    <row r="5" spans="1:4" ht="15" customHeight="1" x14ac:dyDescent="0.2">
      <c r="A5" s="5" t="s">
        <v>18</v>
      </c>
      <c r="B5" s="5" t="s">
        <v>37</v>
      </c>
      <c r="C5" s="5">
        <v>3</v>
      </c>
      <c r="D5" s="5"/>
    </row>
    <row r="6" spans="1:4" ht="15" customHeight="1" x14ac:dyDescent="0.2">
      <c r="A6" s="5" t="s">
        <v>1023</v>
      </c>
      <c r="B6" s="5" t="s">
        <v>1024</v>
      </c>
      <c r="C6" s="5">
        <v>0</v>
      </c>
      <c r="D6" s="5" t="s">
        <v>1025</v>
      </c>
    </row>
    <row r="7" spans="1:4" ht="15" customHeight="1" x14ac:dyDescent="0.2">
      <c r="A7" s="5" t="s">
        <v>1023</v>
      </c>
      <c r="B7" s="5" t="s">
        <v>1026</v>
      </c>
      <c r="C7" s="5">
        <v>1</v>
      </c>
      <c r="D7" s="5" t="s">
        <v>1027</v>
      </c>
    </row>
    <row r="8" spans="1:4" ht="15" customHeight="1" x14ac:dyDescent="0.2">
      <c r="A8" s="5" t="s">
        <v>1023</v>
      </c>
      <c r="B8" s="5" t="s">
        <v>1028</v>
      </c>
      <c r="C8" s="5">
        <v>2</v>
      </c>
      <c r="D8" s="5" t="s">
        <v>1029</v>
      </c>
    </row>
    <row r="9" spans="1:4" ht="15" customHeight="1" x14ac:dyDescent="0.2">
      <c r="A9" s="5" t="s">
        <v>22</v>
      </c>
      <c r="B9" s="5" t="s">
        <v>1030</v>
      </c>
      <c r="C9" s="5">
        <v>0</v>
      </c>
      <c r="D9" s="5"/>
    </row>
    <row r="10" spans="1:4" ht="15" customHeight="1" x14ac:dyDescent="0.2">
      <c r="A10" s="5" t="s">
        <v>22</v>
      </c>
      <c r="B10" s="5" t="s">
        <v>1031</v>
      </c>
      <c r="C10" s="5">
        <v>1</v>
      </c>
      <c r="D10" s="5"/>
    </row>
    <row r="11" spans="1:4" ht="15" customHeight="1" x14ac:dyDescent="0.2">
      <c r="A11" s="5" t="s">
        <v>22</v>
      </c>
      <c r="B11" s="5" t="s">
        <v>1032</v>
      </c>
      <c r="C11" s="5">
        <v>2</v>
      </c>
      <c r="D11" s="5" t="s">
        <v>1033</v>
      </c>
    </row>
    <row r="12" spans="1:4" ht="15" customHeight="1" x14ac:dyDescent="0.2">
      <c r="A12" s="5" t="s">
        <v>14</v>
      </c>
      <c r="B12" s="5" t="s">
        <v>1034</v>
      </c>
      <c r="C12" s="5">
        <v>0</v>
      </c>
      <c r="D12" s="5" t="s">
        <v>1035</v>
      </c>
    </row>
    <row r="13" spans="1:4" ht="15" customHeight="1" x14ac:dyDescent="0.2">
      <c r="A13" s="5" t="s">
        <v>14</v>
      </c>
      <c r="B13" s="5" t="s">
        <v>1036</v>
      </c>
      <c r="C13" s="5">
        <v>1</v>
      </c>
      <c r="D13" s="5" t="s">
        <v>1037</v>
      </c>
    </row>
    <row r="14" spans="1:4" ht="15" customHeight="1" x14ac:dyDescent="0.2">
      <c r="A14" s="5" t="s">
        <v>14</v>
      </c>
      <c r="B14" s="5" t="s">
        <v>35</v>
      </c>
      <c r="C14" s="5">
        <v>2</v>
      </c>
      <c r="D14" s="5" t="s">
        <v>1038</v>
      </c>
    </row>
    <row r="15" spans="1:4" ht="15" customHeight="1" x14ac:dyDescent="0.2">
      <c r="A15" s="5" t="s">
        <v>23</v>
      </c>
      <c r="B15" s="5" t="s">
        <v>1039</v>
      </c>
      <c r="C15" s="5">
        <v>0</v>
      </c>
      <c r="D15" s="5"/>
    </row>
    <row r="16" spans="1:4" ht="15" customHeight="1" x14ac:dyDescent="0.2">
      <c r="A16" s="5" t="s">
        <v>23</v>
      </c>
      <c r="B16" s="5" t="s">
        <v>1040</v>
      </c>
      <c r="C16" s="5">
        <v>1</v>
      </c>
      <c r="D16" s="5"/>
    </row>
    <row r="17" spans="1:4" ht="15" customHeight="1" x14ac:dyDescent="0.2">
      <c r="A17" s="5" t="s">
        <v>1041</v>
      </c>
      <c r="B17" s="5" t="s">
        <v>1042</v>
      </c>
      <c r="C17" s="5">
        <v>0</v>
      </c>
      <c r="D17" s="5" t="s">
        <v>1043</v>
      </c>
    </row>
    <row r="18" spans="1:4" ht="15" customHeight="1" x14ac:dyDescent="0.2">
      <c r="A18" s="5" t="s">
        <v>1041</v>
      </c>
      <c r="B18" s="5" t="s">
        <v>1044</v>
      </c>
      <c r="C18" s="5">
        <v>1</v>
      </c>
      <c r="D18" s="5"/>
    </row>
    <row r="19" spans="1:4" ht="15" customHeight="1" x14ac:dyDescent="0.2">
      <c r="A19" s="5" t="s">
        <v>1045</v>
      </c>
      <c r="B19" s="5" t="s">
        <v>1046</v>
      </c>
      <c r="C19" s="5" t="s">
        <v>1047</v>
      </c>
      <c r="D19" s="5" t="s">
        <v>1048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zoomScaleNormal="100" workbookViewId="0">
      <pane ySplit="1" topLeftCell="A2" activePane="bottomLeft" state="frozen"/>
      <selection pane="bottomLeft"/>
    </sheetView>
  </sheetViews>
  <sheetFormatPr baseColWidth="10" defaultColWidth="8.83203125" defaultRowHeight="15" x14ac:dyDescent="0.2"/>
  <cols>
    <col min="1" max="2" width="28" customWidth="1"/>
    <col min="3" max="3" width="70" customWidth="1"/>
  </cols>
  <sheetData>
    <row r="1" spans="1:2" ht="15" customHeight="1" x14ac:dyDescent="0.2">
      <c r="A1" s="13" t="s">
        <v>1049</v>
      </c>
      <c r="B1" s="13" t="s">
        <v>1050</v>
      </c>
    </row>
    <row r="2" spans="1:2" ht="15" customHeight="1" x14ac:dyDescent="0.2">
      <c r="A2" s="14" t="s">
        <v>0</v>
      </c>
      <c r="B2" s="14" t="s">
        <v>1051</v>
      </c>
    </row>
    <row r="3" spans="1:2" ht="15" customHeight="1" x14ac:dyDescent="0.2">
      <c r="A3" s="14" t="s">
        <v>1</v>
      </c>
      <c r="B3" s="14" t="s">
        <v>1052</v>
      </c>
    </row>
    <row r="4" spans="1:2" ht="15" customHeight="1" x14ac:dyDescent="0.2">
      <c r="A4" s="14" t="s">
        <v>2</v>
      </c>
      <c r="B4" s="14" t="s">
        <v>1053</v>
      </c>
    </row>
    <row r="5" spans="1:2" ht="15" customHeight="1" x14ac:dyDescent="0.2">
      <c r="A5" s="14" t="s">
        <v>3</v>
      </c>
      <c r="B5" s="14" t="s">
        <v>1054</v>
      </c>
    </row>
    <row r="6" spans="1:2" ht="15" customHeight="1" x14ac:dyDescent="0.2">
      <c r="A6" s="14" t="s">
        <v>4</v>
      </c>
      <c r="B6" s="14" t="s">
        <v>1055</v>
      </c>
    </row>
    <row r="7" spans="1:2" ht="15" customHeight="1" x14ac:dyDescent="0.2">
      <c r="A7" s="14" t="s">
        <v>5</v>
      </c>
      <c r="B7" s="14" t="s">
        <v>1056</v>
      </c>
    </row>
    <row r="8" spans="1:2" ht="15" customHeight="1" x14ac:dyDescent="0.2">
      <c r="A8" s="14" t="s">
        <v>6</v>
      </c>
      <c r="B8" s="14" t="s">
        <v>1057</v>
      </c>
    </row>
    <row r="9" spans="1:2" ht="15" customHeight="1" x14ac:dyDescent="0.2">
      <c r="A9" s="14" t="s">
        <v>7</v>
      </c>
      <c r="B9" s="14" t="s">
        <v>1058</v>
      </c>
    </row>
    <row r="10" spans="1:2" ht="15" customHeight="1" x14ac:dyDescent="0.2">
      <c r="A10" s="14" t="s">
        <v>8</v>
      </c>
      <c r="B10" s="14" t="s">
        <v>1059</v>
      </c>
    </row>
    <row r="11" spans="1:2" ht="15" customHeight="1" x14ac:dyDescent="0.2">
      <c r="A11" s="14" t="s">
        <v>9</v>
      </c>
      <c r="B11" s="14" t="s">
        <v>1060</v>
      </c>
    </row>
    <row r="12" spans="1:2" ht="15" customHeight="1" x14ac:dyDescent="0.2">
      <c r="A12" s="14" t="s">
        <v>10</v>
      </c>
      <c r="B12" s="14" t="s">
        <v>1061</v>
      </c>
    </row>
    <row r="13" spans="1:2" ht="15" customHeight="1" x14ac:dyDescent="0.2">
      <c r="A13" s="14" t="s">
        <v>11</v>
      </c>
      <c r="B13" s="14" t="s">
        <v>1062</v>
      </c>
    </row>
    <row r="14" spans="1:2" ht="15" customHeight="1" x14ac:dyDescent="0.2">
      <c r="A14" s="14" t="s">
        <v>12</v>
      </c>
      <c r="B14" s="14" t="s">
        <v>1063</v>
      </c>
    </row>
    <row r="15" spans="1:2" ht="15" customHeight="1" x14ac:dyDescent="0.2">
      <c r="A15" s="14" t="s">
        <v>13</v>
      </c>
      <c r="B15" s="14" t="s">
        <v>1064</v>
      </c>
    </row>
    <row r="16" spans="1:2" ht="15" customHeight="1" x14ac:dyDescent="0.2">
      <c r="A16" s="14" t="s">
        <v>14</v>
      </c>
      <c r="B16" s="14" t="s">
        <v>1065</v>
      </c>
    </row>
    <row r="17" spans="1:2" ht="15" customHeight="1" x14ac:dyDescent="0.2">
      <c r="A17" s="14" t="s">
        <v>15</v>
      </c>
      <c r="B17" s="14" t="s">
        <v>1066</v>
      </c>
    </row>
    <row r="18" spans="1:2" ht="15" customHeight="1" x14ac:dyDescent="0.2">
      <c r="A18" s="14" t="s">
        <v>16</v>
      </c>
      <c r="B18" s="14" t="s">
        <v>1067</v>
      </c>
    </row>
    <row r="19" spans="1:2" ht="15" customHeight="1" x14ac:dyDescent="0.2">
      <c r="A19" s="14" t="s">
        <v>17</v>
      </c>
      <c r="B19" s="14" t="s">
        <v>1068</v>
      </c>
    </row>
    <row r="20" spans="1:2" ht="15" customHeight="1" x14ac:dyDescent="0.2">
      <c r="A20" s="14" t="s">
        <v>18</v>
      </c>
      <c r="B20" s="14" t="s">
        <v>1069</v>
      </c>
    </row>
    <row r="21" spans="1:2" ht="15" customHeight="1" x14ac:dyDescent="0.2">
      <c r="A21" s="14" t="s">
        <v>19</v>
      </c>
      <c r="B21" s="14" t="s">
        <v>1070</v>
      </c>
    </row>
    <row r="22" spans="1:2" ht="15" customHeight="1" x14ac:dyDescent="0.2">
      <c r="A22" s="14" t="s">
        <v>20</v>
      </c>
      <c r="B22" s="14" t="s">
        <v>1071</v>
      </c>
    </row>
    <row r="23" spans="1:2" ht="15" customHeight="1" x14ac:dyDescent="0.2">
      <c r="A23" s="14" t="s">
        <v>21</v>
      </c>
      <c r="B23" s="14" t="s">
        <v>1072</v>
      </c>
    </row>
    <row r="24" spans="1:2" ht="15" customHeight="1" x14ac:dyDescent="0.2">
      <c r="A24" s="14" t="s">
        <v>22</v>
      </c>
      <c r="B24" s="14" t="s">
        <v>1073</v>
      </c>
    </row>
    <row r="25" spans="1:2" ht="15" customHeight="1" x14ac:dyDescent="0.2">
      <c r="A25" s="14" t="s">
        <v>23</v>
      </c>
      <c r="B25" s="14" t="s">
        <v>1074</v>
      </c>
    </row>
    <row r="26" spans="1:2" ht="15" customHeight="1" x14ac:dyDescent="0.2">
      <c r="A26" s="14" t="s">
        <v>24</v>
      </c>
      <c r="B26" s="14" t="s">
        <v>1075</v>
      </c>
    </row>
    <row r="27" spans="1:2" ht="15" customHeight="1" x14ac:dyDescent="0.2">
      <c r="A27" s="14" t="s">
        <v>25</v>
      </c>
      <c r="B27" s="14" t="s">
        <v>1076</v>
      </c>
    </row>
    <row r="28" spans="1:2" ht="15" customHeight="1" x14ac:dyDescent="0.2"/>
    <row r="29" spans="1:2" ht="15" customHeight="1" x14ac:dyDescent="0.2"/>
    <row r="30" spans="1:2" ht="15" customHeight="1" x14ac:dyDescent="0.2"/>
    <row r="31" spans="1:2" ht="15" customHeight="1" x14ac:dyDescent="0.2"/>
    <row r="32" spans="1:2" ht="15" customHeight="1" x14ac:dyDescent="0.2"/>
    <row r="33" ht="15" customHeight="1" x14ac:dyDescent="0.2"/>
    <row r="34" ht="15" customHeight="1" x14ac:dyDescent="0.2"/>
    <row r="35" ht="15" customHeight="1" x14ac:dyDescent="0.2"/>
    <row r="36" ht="15" customHeight="1" x14ac:dyDescent="0.2"/>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4"/>
  <sheetViews>
    <sheetView zoomScaleNormal="100" workbookViewId="0">
      <pane ySplit="1" topLeftCell="A2" activePane="bottomLeft" state="frozen"/>
      <selection pane="bottomLeft"/>
    </sheetView>
  </sheetViews>
  <sheetFormatPr baseColWidth="10" defaultColWidth="8.6640625" defaultRowHeight="15" x14ac:dyDescent="0.2"/>
  <cols>
    <col min="1" max="1" width="14" customWidth="1"/>
    <col min="2" max="2" width="18" customWidth="1"/>
    <col min="3" max="3" width="42" customWidth="1"/>
    <col min="4" max="4" width="15" customWidth="1"/>
    <col min="5" max="5" width="16" customWidth="1"/>
    <col min="6" max="6" width="18" customWidth="1"/>
    <col min="7" max="7" width="20" customWidth="1"/>
    <col min="8" max="8" width="95" customWidth="1"/>
  </cols>
  <sheetData>
    <row r="1" spans="1:8" x14ac:dyDescent="0.2">
      <c r="A1" s="13" t="s">
        <v>1077</v>
      </c>
      <c r="B1" s="13" t="s">
        <v>1</v>
      </c>
      <c r="C1" s="13" t="s">
        <v>5</v>
      </c>
      <c r="D1" s="13" t="s">
        <v>6</v>
      </c>
      <c r="E1" s="13" t="s">
        <v>15</v>
      </c>
      <c r="F1" s="13" t="s">
        <v>1078</v>
      </c>
      <c r="G1" s="13" t="s">
        <v>25</v>
      </c>
      <c r="H1" s="13" t="s">
        <v>1079</v>
      </c>
    </row>
    <row r="2" spans="1:8" x14ac:dyDescent="0.2">
      <c r="A2" s="14" t="s">
        <v>1080</v>
      </c>
      <c r="B2" s="14">
        <v>328022147</v>
      </c>
      <c r="C2" s="14" t="s">
        <v>1081</v>
      </c>
      <c r="D2" s="14">
        <v>178.3</v>
      </c>
      <c r="E2" s="14">
        <v>99999999</v>
      </c>
      <c r="F2" s="14">
        <v>560852</v>
      </c>
      <c r="G2" s="15"/>
      <c r="H2" s="14" t="s">
        <v>1082</v>
      </c>
    </row>
    <row r="3" spans="1:8" x14ac:dyDescent="0.2">
      <c r="A3" s="14" t="s">
        <v>1080</v>
      </c>
      <c r="B3" s="14">
        <v>330092348</v>
      </c>
      <c r="C3" s="14" t="s">
        <v>701</v>
      </c>
      <c r="D3" s="14">
        <v>97.7</v>
      </c>
      <c r="E3" s="14">
        <v>13500000</v>
      </c>
      <c r="F3" s="14">
        <v>138178</v>
      </c>
      <c r="G3" s="15"/>
      <c r="H3" s="14" t="s">
        <v>1083</v>
      </c>
    </row>
    <row r="4" spans="1:8" x14ac:dyDescent="0.2">
      <c r="A4" s="14" t="s">
        <v>1080</v>
      </c>
      <c r="B4" s="14">
        <v>331845322</v>
      </c>
      <c r="C4" s="14" t="s">
        <v>241</v>
      </c>
      <c r="D4" s="14">
        <v>36</v>
      </c>
      <c r="E4" s="14">
        <v>2500000</v>
      </c>
      <c r="F4" s="14">
        <v>69444</v>
      </c>
      <c r="G4" s="15"/>
      <c r="H4" s="14" t="s">
        <v>1084</v>
      </c>
    </row>
    <row r="5" spans="1:8" x14ac:dyDescent="0.2">
      <c r="A5" s="14" t="s">
        <v>1080</v>
      </c>
      <c r="B5" s="14">
        <v>333583776</v>
      </c>
      <c r="C5" s="14" t="s">
        <v>999</v>
      </c>
      <c r="D5" s="14">
        <v>42.7</v>
      </c>
      <c r="E5" s="14">
        <v>24404000</v>
      </c>
      <c r="F5" s="14">
        <v>571522</v>
      </c>
      <c r="G5" s="15"/>
      <c r="H5" s="14" t="s">
        <v>1085</v>
      </c>
    </row>
    <row r="6" spans="1:8" x14ac:dyDescent="0.2">
      <c r="A6" s="14" t="s">
        <v>1086</v>
      </c>
      <c r="B6" s="14">
        <v>328760948</v>
      </c>
      <c r="C6" s="14" t="s">
        <v>131</v>
      </c>
      <c r="D6" s="14">
        <v>192.6</v>
      </c>
      <c r="E6" s="14">
        <v>570000000</v>
      </c>
      <c r="F6" s="14">
        <v>2959502</v>
      </c>
      <c r="G6" s="15">
        <v>46217</v>
      </c>
      <c r="H6" s="14" t="s">
        <v>1087</v>
      </c>
    </row>
    <row r="7" spans="1:8" x14ac:dyDescent="0.2">
      <c r="A7" s="14" t="s">
        <v>1086</v>
      </c>
      <c r="B7" s="14">
        <v>328450802</v>
      </c>
      <c r="C7" s="14" t="s">
        <v>301</v>
      </c>
      <c r="D7" s="14">
        <v>300</v>
      </c>
      <c r="E7" s="14">
        <v>919794700</v>
      </c>
      <c r="F7" s="14">
        <v>3065982</v>
      </c>
      <c r="G7" s="15">
        <v>46217</v>
      </c>
      <c r="H7" s="14" t="s">
        <v>1087</v>
      </c>
    </row>
    <row r="8" spans="1:8" x14ac:dyDescent="0.2">
      <c r="A8" s="14" t="s">
        <v>1086</v>
      </c>
      <c r="B8" s="14">
        <v>328450804</v>
      </c>
      <c r="C8" s="14" t="s">
        <v>437</v>
      </c>
      <c r="D8" s="14">
        <v>385</v>
      </c>
      <c r="E8" s="14">
        <v>420000000</v>
      </c>
      <c r="F8" s="14">
        <v>1090909</v>
      </c>
      <c r="G8" s="15">
        <v>46217</v>
      </c>
      <c r="H8" s="14" t="s">
        <v>1087</v>
      </c>
    </row>
    <row r="9" spans="1:8" x14ac:dyDescent="0.2">
      <c r="A9" s="14" t="s">
        <v>1086</v>
      </c>
      <c r="B9" s="14">
        <v>324468391</v>
      </c>
      <c r="C9" s="14" t="s">
        <v>784</v>
      </c>
      <c r="D9" s="14">
        <v>499</v>
      </c>
      <c r="E9" s="14">
        <v>1499000000</v>
      </c>
      <c r="F9" s="14">
        <v>3004008</v>
      </c>
      <c r="G9" s="15">
        <v>46217</v>
      </c>
      <c r="H9" s="14" t="s">
        <v>1087</v>
      </c>
    </row>
    <row r="10" spans="1:8" x14ac:dyDescent="0.2">
      <c r="A10" s="14" t="s">
        <v>1086</v>
      </c>
      <c r="B10" s="14">
        <v>327153940</v>
      </c>
      <c r="C10" s="14" t="s">
        <v>470</v>
      </c>
      <c r="D10" s="14">
        <v>90.1</v>
      </c>
      <c r="E10" s="14">
        <v>75000000</v>
      </c>
      <c r="F10" s="14">
        <v>832408</v>
      </c>
      <c r="G10" s="15">
        <v>46217</v>
      </c>
      <c r="H10" s="14" t="s">
        <v>1087</v>
      </c>
    </row>
    <row r="11" spans="1:8" x14ac:dyDescent="0.2">
      <c r="A11" s="14" t="s">
        <v>1086</v>
      </c>
      <c r="B11" s="14">
        <v>321728661</v>
      </c>
      <c r="C11" s="14" t="s">
        <v>287</v>
      </c>
      <c r="D11" s="14">
        <v>171</v>
      </c>
      <c r="E11" s="14">
        <v>155000000</v>
      </c>
      <c r="F11" s="14">
        <v>906433</v>
      </c>
      <c r="G11" s="15">
        <v>46217</v>
      </c>
      <c r="H11" s="14" t="s">
        <v>1087</v>
      </c>
    </row>
    <row r="12" spans="1:8" x14ac:dyDescent="0.2">
      <c r="A12" s="14" t="s">
        <v>1086</v>
      </c>
      <c r="B12" s="14">
        <v>317410374</v>
      </c>
      <c r="C12" s="14" t="s">
        <v>255</v>
      </c>
      <c r="D12" s="14">
        <v>117</v>
      </c>
      <c r="E12" s="14">
        <v>203191011</v>
      </c>
      <c r="F12" s="14">
        <v>1736675</v>
      </c>
      <c r="G12" s="15">
        <v>46217</v>
      </c>
      <c r="H12" s="14" t="s">
        <v>1087</v>
      </c>
    </row>
    <row r="13" spans="1:8" x14ac:dyDescent="0.2">
      <c r="A13" s="14" t="s">
        <v>1086</v>
      </c>
      <c r="B13" s="14">
        <v>294650782</v>
      </c>
      <c r="C13" s="14" t="s">
        <v>525</v>
      </c>
      <c r="D13" s="14">
        <v>952</v>
      </c>
      <c r="E13" s="14">
        <v>2926619500</v>
      </c>
      <c r="F13" s="14">
        <v>3074180</v>
      </c>
      <c r="G13" s="15">
        <v>46217</v>
      </c>
      <c r="H13" s="14" t="s">
        <v>1087</v>
      </c>
    </row>
    <row r="14" spans="1:8" x14ac:dyDescent="0.2">
      <c r="A14" s="14" t="s">
        <v>1086</v>
      </c>
      <c r="B14" s="14">
        <v>331852526</v>
      </c>
      <c r="C14" s="14" t="s">
        <v>290</v>
      </c>
      <c r="D14" s="14">
        <v>161</v>
      </c>
      <c r="E14" s="14">
        <v>165000000</v>
      </c>
      <c r="F14" s="14">
        <v>1024845</v>
      </c>
      <c r="G14" s="15">
        <v>46217</v>
      </c>
      <c r="H14" s="14" t="s">
        <v>1087</v>
      </c>
    </row>
    <row r="15" spans="1:8" x14ac:dyDescent="0.2">
      <c r="A15" s="14" t="s">
        <v>1086</v>
      </c>
      <c r="B15" s="14">
        <v>325560899</v>
      </c>
      <c r="C15" s="14" t="s">
        <v>451</v>
      </c>
      <c r="D15" s="14">
        <v>137.4</v>
      </c>
      <c r="E15" s="14">
        <v>215000000</v>
      </c>
      <c r="F15" s="14">
        <v>1564774</v>
      </c>
      <c r="G15" s="15">
        <v>46217</v>
      </c>
      <c r="H15" s="14" t="s">
        <v>1087</v>
      </c>
    </row>
    <row r="16" spans="1:8" x14ac:dyDescent="0.2">
      <c r="A16" s="14" t="s">
        <v>1086</v>
      </c>
      <c r="B16" s="14">
        <v>324623215</v>
      </c>
      <c r="C16" s="14" t="s">
        <v>134</v>
      </c>
      <c r="D16" s="14">
        <v>350</v>
      </c>
      <c r="E16" s="14">
        <v>999000000</v>
      </c>
      <c r="F16" s="14">
        <v>2854286</v>
      </c>
      <c r="G16" s="15">
        <v>46217</v>
      </c>
      <c r="H16" s="14" t="s">
        <v>1087</v>
      </c>
    </row>
    <row r="17" spans="1:8" x14ac:dyDescent="0.2">
      <c r="A17" s="14" t="s">
        <v>1086</v>
      </c>
      <c r="B17" s="14">
        <v>331334480</v>
      </c>
      <c r="C17" s="14" t="s">
        <v>87</v>
      </c>
      <c r="D17" s="14">
        <v>60</v>
      </c>
      <c r="E17" s="14">
        <v>74295500</v>
      </c>
      <c r="F17" s="14">
        <v>1238258</v>
      </c>
      <c r="G17" s="15">
        <v>46217</v>
      </c>
      <c r="H17" s="14" t="s">
        <v>1087</v>
      </c>
    </row>
    <row r="18" spans="1:8" x14ac:dyDescent="0.2">
      <c r="A18" s="14" t="s">
        <v>1086</v>
      </c>
      <c r="B18" s="14">
        <v>313191706</v>
      </c>
      <c r="C18" s="14" t="s">
        <v>301</v>
      </c>
      <c r="D18" s="14">
        <v>261</v>
      </c>
      <c r="E18" s="14">
        <v>334470800</v>
      </c>
      <c r="F18" s="14">
        <v>1281497</v>
      </c>
      <c r="G18" s="15">
        <v>46217</v>
      </c>
      <c r="H18" s="14" t="s">
        <v>1087</v>
      </c>
    </row>
    <row r="19" spans="1:8" x14ac:dyDescent="0.2">
      <c r="A19" s="14" t="s">
        <v>1086</v>
      </c>
      <c r="B19" s="14">
        <v>326673366</v>
      </c>
      <c r="C19" s="14" t="s">
        <v>457</v>
      </c>
      <c r="D19" s="14">
        <v>80</v>
      </c>
      <c r="E19" s="14">
        <v>112000000</v>
      </c>
      <c r="F19" s="14">
        <v>1400000</v>
      </c>
      <c r="G19" s="15">
        <v>46217</v>
      </c>
      <c r="H19" s="14" t="s">
        <v>1087</v>
      </c>
    </row>
    <row r="20" spans="1:8" x14ac:dyDescent="0.2">
      <c r="A20" s="14" t="s">
        <v>1086</v>
      </c>
      <c r="B20" s="14">
        <v>321701079</v>
      </c>
      <c r="C20" s="14" t="s">
        <v>264</v>
      </c>
      <c r="D20" s="14">
        <v>147.19999999999999</v>
      </c>
      <c r="E20" s="14">
        <v>150000000</v>
      </c>
      <c r="F20" s="14">
        <v>1019022</v>
      </c>
      <c r="G20" s="15">
        <v>46217</v>
      </c>
      <c r="H20" s="14" t="s">
        <v>1087</v>
      </c>
    </row>
    <row r="21" spans="1:8" x14ac:dyDescent="0.2">
      <c r="A21" s="14" t="s">
        <v>1086</v>
      </c>
      <c r="B21" s="14">
        <v>315037765</v>
      </c>
      <c r="C21" s="14" t="s">
        <v>93</v>
      </c>
      <c r="D21" s="14">
        <v>264</v>
      </c>
      <c r="E21" s="14">
        <v>250000000</v>
      </c>
      <c r="F21" s="14">
        <v>946970</v>
      </c>
      <c r="G21" s="15">
        <v>46217</v>
      </c>
      <c r="H21" s="14" t="s">
        <v>1087</v>
      </c>
    </row>
    <row r="22" spans="1:8" x14ac:dyDescent="0.2">
      <c r="A22" s="14" t="s">
        <v>1086</v>
      </c>
      <c r="B22" s="14">
        <v>330850234</v>
      </c>
      <c r="C22" s="14" t="s">
        <v>463</v>
      </c>
      <c r="D22" s="14">
        <v>84.5</v>
      </c>
      <c r="E22" s="14">
        <v>71500000</v>
      </c>
      <c r="F22" s="14">
        <v>846154</v>
      </c>
      <c r="G22" s="15">
        <v>46217</v>
      </c>
      <c r="H22" s="14" t="s">
        <v>1087</v>
      </c>
    </row>
    <row r="23" spans="1:8" x14ac:dyDescent="0.2">
      <c r="A23" s="14" t="s">
        <v>1086</v>
      </c>
      <c r="B23" s="14">
        <v>330392817</v>
      </c>
      <c r="C23" s="14" t="s">
        <v>154</v>
      </c>
      <c r="D23" s="14">
        <v>110</v>
      </c>
      <c r="E23" s="14">
        <v>75000000</v>
      </c>
      <c r="F23" s="14">
        <v>681818</v>
      </c>
      <c r="G23" s="15">
        <v>46217</v>
      </c>
      <c r="H23" s="14" t="s">
        <v>1087</v>
      </c>
    </row>
    <row r="24" spans="1:8" x14ac:dyDescent="0.2">
      <c r="A24" s="14" t="s">
        <v>1086</v>
      </c>
      <c r="B24" s="14">
        <v>294674312</v>
      </c>
      <c r="C24" s="14" t="s">
        <v>90</v>
      </c>
      <c r="D24" s="14">
        <v>187.8</v>
      </c>
      <c r="E24" s="14">
        <v>278000000</v>
      </c>
      <c r="F24" s="14">
        <v>1480298</v>
      </c>
      <c r="G24" s="15">
        <v>46217</v>
      </c>
      <c r="H24" s="14" t="s">
        <v>1087</v>
      </c>
    </row>
    <row r="25" spans="1:8" x14ac:dyDescent="0.2">
      <c r="A25" s="14" t="s">
        <v>1086</v>
      </c>
      <c r="B25" s="14">
        <v>331394711</v>
      </c>
      <c r="C25" s="14" t="s">
        <v>451</v>
      </c>
      <c r="D25" s="14">
        <v>137.4</v>
      </c>
      <c r="E25" s="14">
        <v>215000000</v>
      </c>
      <c r="F25" s="14">
        <v>1564774</v>
      </c>
      <c r="G25" s="15">
        <v>46217</v>
      </c>
      <c r="H25" s="14" t="s">
        <v>1087</v>
      </c>
    </row>
    <row r="26" spans="1:8" x14ac:dyDescent="0.2">
      <c r="A26" s="14" t="s">
        <v>1086</v>
      </c>
      <c r="B26" s="14">
        <v>329229301</v>
      </c>
      <c r="C26" s="14" t="s">
        <v>65</v>
      </c>
      <c r="D26" s="14">
        <v>99.1</v>
      </c>
      <c r="E26" s="14">
        <v>69000000</v>
      </c>
      <c r="F26" s="14">
        <v>696266</v>
      </c>
      <c r="G26" s="15">
        <v>46217</v>
      </c>
      <c r="H26" s="14" t="s">
        <v>1087</v>
      </c>
    </row>
    <row r="27" spans="1:8" x14ac:dyDescent="0.2">
      <c r="A27" s="14" t="s">
        <v>1086</v>
      </c>
      <c r="B27" s="14">
        <v>330445034</v>
      </c>
      <c r="C27" s="14" t="s">
        <v>1088</v>
      </c>
      <c r="D27" s="14">
        <v>135.80000000000001</v>
      </c>
      <c r="E27" s="14">
        <v>84500000</v>
      </c>
      <c r="F27" s="14">
        <v>622239</v>
      </c>
      <c r="G27" s="15">
        <v>46217</v>
      </c>
      <c r="H27" s="14" t="s">
        <v>1087</v>
      </c>
    </row>
    <row r="28" spans="1:8" x14ac:dyDescent="0.2">
      <c r="A28" s="14" t="s">
        <v>1086</v>
      </c>
      <c r="B28" s="14">
        <v>329883864</v>
      </c>
      <c r="C28" s="14" t="s">
        <v>99</v>
      </c>
      <c r="D28" s="14">
        <v>113.8</v>
      </c>
      <c r="E28" s="14">
        <v>115000000</v>
      </c>
      <c r="F28" s="14">
        <v>1010545</v>
      </c>
      <c r="G28" s="15">
        <v>46217</v>
      </c>
      <c r="H28" s="14" t="s">
        <v>1087</v>
      </c>
    </row>
    <row r="29" spans="1:8" x14ac:dyDescent="0.2">
      <c r="A29" s="14" t="s">
        <v>1086</v>
      </c>
      <c r="B29" s="14">
        <v>326313686</v>
      </c>
      <c r="C29" s="14" t="s">
        <v>301</v>
      </c>
      <c r="D29" s="14">
        <v>323.5</v>
      </c>
      <c r="E29" s="14">
        <v>436725000</v>
      </c>
      <c r="F29" s="14">
        <v>1350000</v>
      </c>
      <c r="G29" s="15">
        <v>46217</v>
      </c>
      <c r="H29" s="14" t="s">
        <v>1087</v>
      </c>
    </row>
    <row r="30" spans="1:8" x14ac:dyDescent="0.2">
      <c r="A30" s="14" t="s">
        <v>1086</v>
      </c>
      <c r="B30" s="14">
        <v>320147431</v>
      </c>
      <c r="C30" s="14" t="s">
        <v>128</v>
      </c>
      <c r="D30" s="14">
        <v>250</v>
      </c>
      <c r="E30" s="14">
        <v>179000000</v>
      </c>
      <c r="F30" s="14">
        <v>716000</v>
      </c>
      <c r="G30" s="15">
        <v>46217</v>
      </c>
      <c r="H30" s="14" t="s">
        <v>1087</v>
      </c>
    </row>
    <row r="31" spans="1:8" x14ac:dyDescent="0.2">
      <c r="A31" s="14" t="s">
        <v>1086</v>
      </c>
      <c r="B31" s="14">
        <v>328021618</v>
      </c>
      <c r="C31" s="14" t="s">
        <v>145</v>
      </c>
      <c r="D31" s="14">
        <v>151.1</v>
      </c>
      <c r="E31" s="14">
        <v>528850000</v>
      </c>
      <c r="F31" s="14">
        <v>3500000</v>
      </c>
      <c r="G31" s="15">
        <v>46217</v>
      </c>
      <c r="H31" s="14" t="s">
        <v>1087</v>
      </c>
    </row>
    <row r="32" spans="1:8" x14ac:dyDescent="0.2">
      <c r="A32" s="14" t="s">
        <v>1086</v>
      </c>
      <c r="B32" s="14">
        <v>328082167</v>
      </c>
      <c r="C32" s="14" t="s">
        <v>655</v>
      </c>
      <c r="D32" s="14">
        <v>359.6</v>
      </c>
      <c r="E32" s="14">
        <v>1294560000</v>
      </c>
      <c r="F32" s="14">
        <v>3600000</v>
      </c>
      <c r="G32" s="15">
        <v>46217</v>
      </c>
      <c r="H32" s="14" t="s">
        <v>1087</v>
      </c>
    </row>
    <row r="33" spans="1:8" x14ac:dyDescent="0.2">
      <c r="A33" s="14" t="s">
        <v>1086</v>
      </c>
      <c r="B33" s="14">
        <v>324878193</v>
      </c>
      <c r="C33" s="14" t="s">
        <v>34</v>
      </c>
      <c r="D33" s="14">
        <v>227.5</v>
      </c>
      <c r="E33" s="14">
        <v>650000000</v>
      </c>
      <c r="F33" s="14">
        <v>2857143</v>
      </c>
      <c r="G33" s="15">
        <v>46217</v>
      </c>
      <c r="H33" s="14" t="s">
        <v>1087</v>
      </c>
    </row>
    <row r="34" spans="1:8" x14ac:dyDescent="0.2">
      <c r="A34" s="14" t="s">
        <v>1086</v>
      </c>
      <c r="B34" s="14">
        <v>331289794</v>
      </c>
      <c r="C34" s="14" t="s">
        <v>34</v>
      </c>
      <c r="D34" s="14">
        <v>163.5</v>
      </c>
      <c r="E34" s="14">
        <v>445000000</v>
      </c>
      <c r="F34" s="14">
        <v>2721713</v>
      </c>
      <c r="G34" s="15">
        <v>46217</v>
      </c>
      <c r="H34" s="14" t="s">
        <v>1087</v>
      </c>
    </row>
    <row r="35" spans="1:8" x14ac:dyDescent="0.2">
      <c r="A35" s="14" t="s">
        <v>1086</v>
      </c>
      <c r="B35" s="14">
        <v>317645526</v>
      </c>
      <c r="C35" s="14" t="s">
        <v>233</v>
      </c>
      <c r="D35" s="14">
        <v>90</v>
      </c>
      <c r="E35" s="14">
        <v>80000000</v>
      </c>
      <c r="F35" s="14">
        <v>888889</v>
      </c>
      <c r="G35" s="15">
        <v>46217</v>
      </c>
      <c r="H35" s="14" t="s">
        <v>1087</v>
      </c>
    </row>
    <row r="36" spans="1:8" x14ac:dyDescent="0.2">
      <c r="A36" s="14" t="s">
        <v>1086</v>
      </c>
      <c r="B36" s="14">
        <v>323834509</v>
      </c>
      <c r="C36" s="14" t="s">
        <v>233</v>
      </c>
      <c r="D36" s="14">
        <v>90</v>
      </c>
      <c r="E36" s="14">
        <v>80000000</v>
      </c>
      <c r="F36" s="14">
        <v>888889</v>
      </c>
      <c r="G36" s="15">
        <v>46217</v>
      </c>
      <c r="H36" s="14" t="s">
        <v>1087</v>
      </c>
    </row>
    <row r="37" spans="1:8" x14ac:dyDescent="0.2">
      <c r="A37" s="14" t="s">
        <v>1086</v>
      </c>
      <c r="B37" s="14">
        <v>327741094</v>
      </c>
      <c r="C37" s="14" t="s">
        <v>444</v>
      </c>
      <c r="D37" s="14">
        <v>152.69999999999999</v>
      </c>
      <c r="E37" s="14">
        <v>397000000</v>
      </c>
      <c r="F37" s="14">
        <v>2599869</v>
      </c>
      <c r="G37" s="15">
        <v>46217</v>
      </c>
      <c r="H37" s="14" t="s">
        <v>1087</v>
      </c>
    </row>
    <row r="38" spans="1:8" x14ac:dyDescent="0.2">
      <c r="A38" s="14" t="s">
        <v>1086</v>
      </c>
      <c r="B38" s="14">
        <v>331746600</v>
      </c>
      <c r="C38" s="14" t="s">
        <v>598</v>
      </c>
      <c r="D38" s="14">
        <v>120</v>
      </c>
      <c r="E38" s="14">
        <v>135000000</v>
      </c>
      <c r="F38" s="14">
        <v>1125000</v>
      </c>
      <c r="G38" s="15">
        <v>46217</v>
      </c>
      <c r="H38" s="14" t="s">
        <v>1087</v>
      </c>
    </row>
    <row r="39" spans="1:8" x14ac:dyDescent="0.2">
      <c r="A39" s="14" t="s">
        <v>1086</v>
      </c>
      <c r="B39" s="14">
        <v>329097744</v>
      </c>
      <c r="C39" s="14" t="s">
        <v>287</v>
      </c>
      <c r="D39" s="14">
        <v>171</v>
      </c>
      <c r="E39" s="14">
        <v>155000000</v>
      </c>
      <c r="F39" s="14">
        <v>906433</v>
      </c>
      <c r="G39" s="15">
        <v>46217</v>
      </c>
      <c r="H39" s="14" t="s">
        <v>1087</v>
      </c>
    </row>
    <row r="40" spans="1:8" x14ac:dyDescent="0.2">
      <c r="A40" s="14" t="s">
        <v>1086</v>
      </c>
      <c r="B40" s="14">
        <v>284989203</v>
      </c>
      <c r="C40" s="14" t="s">
        <v>525</v>
      </c>
      <c r="D40" s="14">
        <v>901.2</v>
      </c>
      <c r="E40" s="14">
        <v>2926619500</v>
      </c>
      <c r="F40" s="14">
        <v>3247469</v>
      </c>
      <c r="G40" s="15">
        <v>46217</v>
      </c>
      <c r="H40" s="14" t="s">
        <v>1087</v>
      </c>
    </row>
    <row r="41" spans="1:8" x14ac:dyDescent="0.2">
      <c r="A41" s="14" t="s">
        <v>1086</v>
      </c>
      <c r="B41" s="14">
        <v>327992372</v>
      </c>
      <c r="C41" s="14" t="s">
        <v>655</v>
      </c>
      <c r="D41" s="14">
        <v>164.4</v>
      </c>
      <c r="E41" s="14">
        <v>460320000</v>
      </c>
      <c r="F41" s="14">
        <v>2800000</v>
      </c>
      <c r="G41" s="15">
        <v>46217</v>
      </c>
      <c r="H41" s="14" t="s">
        <v>1087</v>
      </c>
    </row>
    <row r="42" spans="1:8" x14ac:dyDescent="0.2">
      <c r="A42" s="14" t="s">
        <v>1086</v>
      </c>
      <c r="B42" s="14">
        <v>331770555</v>
      </c>
      <c r="C42" s="14" t="s">
        <v>154</v>
      </c>
      <c r="D42" s="14">
        <v>109.2</v>
      </c>
      <c r="E42" s="14">
        <v>75000000</v>
      </c>
      <c r="F42" s="14">
        <v>686813</v>
      </c>
      <c r="G42" s="15">
        <v>46217</v>
      </c>
      <c r="H42" s="14" t="s">
        <v>1087</v>
      </c>
    </row>
    <row r="43" spans="1:8" x14ac:dyDescent="0.2">
      <c r="A43" s="14" t="s">
        <v>1086</v>
      </c>
      <c r="B43" s="14">
        <v>331769970</v>
      </c>
      <c r="C43" s="14" t="s">
        <v>87</v>
      </c>
      <c r="D43" s="14">
        <v>75</v>
      </c>
      <c r="E43" s="14">
        <v>77200000</v>
      </c>
      <c r="F43" s="14">
        <v>1029333</v>
      </c>
      <c r="G43" s="15">
        <v>46217</v>
      </c>
      <c r="H43" s="14" t="s">
        <v>1087</v>
      </c>
    </row>
    <row r="44" spans="1:8" x14ac:dyDescent="0.2">
      <c r="A44" s="14" t="s">
        <v>1086</v>
      </c>
      <c r="B44" s="14">
        <v>326247329</v>
      </c>
      <c r="C44" s="14" t="s">
        <v>204</v>
      </c>
      <c r="D44" s="14">
        <v>90.3</v>
      </c>
      <c r="E44" s="14">
        <v>119000000</v>
      </c>
      <c r="F44" s="14">
        <v>1317829</v>
      </c>
      <c r="G44" s="15">
        <v>46217</v>
      </c>
      <c r="H44" s="14" t="s">
        <v>1087</v>
      </c>
    </row>
    <row r="45" spans="1:8" x14ac:dyDescent="0.2">
      <c r="A45" s="14" t="s">
        <v>1086</v>
      </c>
      <c r="B45" s="14">
        <v>328052141</v>
      </c>
      <c r="C45" s="14" t="s">
        <v>65</v>
      </c>
      <c r="D45" s="14">
        <v>114</v>
      </c>
      <c r="E45" s="14">
        <v>69500000</v>
      </c>
      <c r="F45" s="14">
        <v>609649</v>
      </c>
      <c r="G45" s="15">
        <v>46217</v>
      </c>
      <c r="H45" s="14" t="s">
        <v>1087</v>
      </c>
    </row>
    <row r="46" spans="1:8" x14ac:dyDescent="0.2">
      <c r="A46" s="14" t="s">
        <v>1086</v>
      </c>
      <c r="B46" s="14">
        <v>326140851</v>
      </c>
      <c r="C46" s="14" t="s">
        <v>525</v>
      </c>
      <c r="D46" s="14">
        <v>901.2</v>
      </c>
      <c r="E46" s="14">
        <v>2926619500</v>
      </c>
      <c r="F46" s="14">
        <v>3247469</v>
      </c>
      <c r="G46" s="15">
        <v>46217</v>
      </c>
      <c r="H46" s="14" t="s">
        <v>1087</v>
      </c>
    </row>
    <row r="47" spans="1:8" x14ac:dyDescent="0.2">
      <c r="A47" s="14" t="s">
        <v>1086</v>
      </c>
      <c r="B47" s="14">
        <v>197214440</v>
      </c>
      <c r="C47" s="14" t="s">
        <v>525</v>
      </c>
      <c r="D47" s="14">
        <v>950</v>
      </c>
      <c r="E47" s="14">
        <v>2926619500</v>
      </c>
      <c r="F47" s="14">
        <v>3080652</v>
      </c>
      <c r="G47" s="15">
        <v>46217</v>
      </c>
      <c r="H47" s="14" t="s">
        <v>1087</v>
      </c>
    </row>
    <row r="48" spans="1:8" x14ac:dyDescent="0.2">
      <c r="A48" s="14" t="s">
        <v>1086</v>
      </c>
      <c r="B48" s="14">
        <v>314345937</v>
      </c>
      <c r="C48" s="14" t="s">
        <v>128</v>
      </c>
      <c r="D48" s="14">
        <v>250</v>
      </c>
      <c r="E48" s="14">
        <v>179000000</v>
      </c>
      <c r="F48" s="14">
        <v>716000</v>
      </c>
      <c r="G48" s="15">
        <v>46217</v>
      </c>
      <c r="H48" s="14" t="s">
        <v>1087</v>
      </c>
    </row>
    <row r="49" spans="1:8" x14ac:dyDescent="0.2">
      <c r="A49" s="14" t="s">
        <v>1086</v>
      </c>
      <c r="B49" s="14">
        <v>330176776</v>
      </c>
      <c r="C49" s="14" t="s">
        <v>605</v>
      </c>
      <c r="D49" s="14">
        <v>136</v>
      </c>
      <c r="E49" s="14">
        <v>99999000</v>
      </c>
      <c r="F49" s="14">
        <v>735287</v>
      </c>
      <c r="G49" s="15">
        <v>46217</v>
      </c>
      <c r="H49" s="14" t="s">
        <v>1087</v>
      </c>
    </row>
    <row r="50" spans="1:8" x14ac:dyDescent="0.2">
      <c r="A50" s="14" t="s">
        <v>1086</v>
      </c>
      <c r="B50" s="14">
        <v>327046386</v>
      </c>
      <c r="C50" s="14" t="s">
        <v>701</v>
      </c>
      <c r="D50" s="14">
        <v>59.2</v>
      </c>
      <c r="E50" s="14">
        <v>42000000</v>
      </c>
      <c r="F50" s="14">
        <v>709459</v>
      </c>
      <c r="G50" s="15">
        <v>46217</v>
      </c>
      <c r="H50" s="14" t="s">
        <v>1087</v>
      </c>
    </row>
    <row r="51" spans="1:8" x14ac:dyDescent="0.2">
      <c r="A51" s="14" t="s">
        <v>1086</v>
      </c>
      <c r="B51" s="14">
        <v>319813441</v>
      </c>
      <c r="C51" s="14" t="s">
        <v>238</v>
      </c>
      <c r="D51" s="14">
        <v>89.7</v>
      </c>
      <c r="E51" s="14">
        <v>67500000</v>
      </c>
      <c r="F51" s="14">
        <v>752508</v>
      </c>
      <c r="G51" s="15">
        <v>46217</v>
      </c>
      <c r="H51" s="14" t="s">
        <v>1087</v>
      </c>
    </row>
    <row r="52" spans="1:8" x14ac:dyDescent="0.2">
      <c r="A52" s="14" t="s">
        <v>1086</v>
      </c>
      <c r="B52" s="14">
        <v>330992211</v>
      </c>
      <c r="C52" s="14" t="s">
        <v>652</v>
      </c>
      <c r="D52" s="14">
        <v>170</v>
      </c>
      <c r="E52" s="14">
        <v>410000000</v>
      </c>
      <c r="F52" s="14">
        <v>2411765</v>
      </c>
      <c r="G52" s="15">
        <v>46217</v>
      </c>
      <c r="H52" s="14" t="s">
        <v>1087</v>
      </c>
    </row>
    <row r="53" spans="1:8" x14ac:dyDescent="0.2">
      <c r="A53" s="14" t="s">
        <v>1086</v>
      </c>
      <c r="B53" s="14">
        <v>300189345</v>
      </c>
      <c r="C53" s="14" t="s">
        <v>233</v>
      </c>
      <c r="D53" s="14">
        <v>90</v>
      </c>
      <c r="E53" s="14">
        <v>80000000</v>
      </c>
      <c r="F53" s="14">
        <v>888889</v>
      </c>
      <c r="G53" s="15">
        <v>46217</v>
      </c>
      <c r="H53" s="14" t="s">
        <v>1087</v>
      </c>
    </row>
    <row r="54" spans="1:8" x14ac:dyDescent="0.2">
      <c r="A54" s="14" t="s">
        <v>1086</v>
      </c>
      <c r="B54" s="14">
        <v>313916510</v>
      </c>
      <c r="C54" s="14" t="s">
        <v>525</v>
      </c>
      <c r="D54" s="14">
        <v>901.2</v>
      </c>
      <c r="E54" s="14">
        <v>2926619500</v>
      </c>
      <c r="F54" s="14">
        <v>3247469</v>
      </c>
      <c r="G54" s="15">
        <v>46217</v>
      </c>
      <c r="H54" s="14" t="s">
        <v>1087</v>
      </c>
    </row>
    <row r="55" spans="1:8" x14ac:dyDescent="0.2">
      <c r="A55" s="14" t="s">
        <v>1086</v>
      </c>
      <c r="B55" s="14">
        <v>307581761</v>
      </c>
      <c r="C55" s="14" t="s">
        <v>142</v>
      </c>
      <c r="D55" s="14">
        <v>143</v>
      </c>
      <c r="E55" s="14">
        <v>140000000</v>
      </c>
      <c r="F55" s="14">
        <v>979021</v>
      </c>
      <c r="G55" s="15">
        <v>46217</v>
      </c>
      <c r="H55" s="14" t="s">
        <v>1087</v>
      </c>
    </row>
    <row r="56" spans="1:8" x14ac:dyDescent="0.2">
      <c r="A56" s="14" t="s">
        <v>1086</v>
      </c>
      <c r="B56" s="14">
        <v>316274866</v>
      </c>
      <c r="C56" s="14" t="s">
        <v>142</v>
      </c>
      <c r="D56" s="14">
        <v>55</v>
      </c>
      <c r="E56" s="14">
        <v>87500000</v>
      </c>
      <c r="F56" s="14">
        <v>1590909</v>
      </c>
      <c r="G56" s="15">
        <v>46217</v>
      </c>
      <c r="H56" s="14" t="s">
        <v>1087</v>
      </c>
    </row>
    <row r="57" spans="1:8" x14ac:dyDescent="0.2">
      <c r="A57" s="14" t="s">
        <v>1086</v>
      </c>
      <c r="B57" s="14">
        <v>320914766</v>
      </c>
      <c r="C57" s="14" t="s">
        <v>128</v>
      </c>
      <c r="D57" s="14">
        <v>250</v>
      </c>
      <c r="E57" s="14">
        <v>179000000</v>
      </c>
      <c r="F57" s="14">
        <v>716000</v>
      </c>
      <c r="G57" s="15">
        <v>46217</v>
      </c>
      <c r="H57" s="14" t="s">
        <v>1087</v>
      </c>
    </row>
    <row r="58" spans="1:8" x14ac:dyDescent="0.2">
      <c r="A58" s="14" t="s">
        <v>1086</v>
      </c>
      <c r="B58" s="14">
        <v>330475537</v>
      </c>
      <c r="C58" s="14" t="s">
        <v>93</v>
      </c>
      <c r="D58" s="14">
        <v>65</v>
      </c>
      <c r="E58" s="14">
        <v>50500000</v>
      </c>
      <c r="F58" s="14">
        <v>776923</v>
      </c>
      <c r="G58" s="15">
        <v>46217</v>
      </c>
      <c r="H58" s="14" t="s">
        <v>1087</v>
      </c>
    </row>
    <row r="59" spans="1:8" x14ac:dyDescent="0.2">
      <c r="A59" s="14" t="s">
        <v>1086</v>
      </c>
      <c r="B59" s="14">
        <v>331201195</v>
      </c>
      <c r="C59" s="14" t="s">
        <v>803</v>
      </c>
      <c r="D59" s="14">
        <v>145</v>
      </c>
      <c r="E59" s="14">
        <v>180000000</v>
      </c>
      <c r="F59" s="14">
        <v>1241379</v>
      </c>
      <c r="G59" s="15">
        <v>46217</v>
      </c>
      <c r="H59" s="14" t="s">
        <v>1087</v>
      </c>
    </row>
    <row r="60" spans="1:8" x14ac:dyDescent="0.2">
      <c r="A60" s="14" t="s">
        <v>1086</v>
      </c>
      <c r="B60" s="14">
        <v>331228852</v>
      </c>
      <c r="C60" s="14" t="s">
        <v>181</v>
      </c>
      <c r="D60" s="14">
        <v>48</v>
      </c>
      <c r="E60" s="14">
        <v>62730854</v>
      </c>
      <c r="F60" s="14">
        <v>1306893</v>
      </c>
      <c r="G60" s="15">
        <v>46217</v>
      </c>
      <c r="H60" s="14" t="s">
        <v>1087</v>
      </c>
    </row>
    <row r="61" spans="1:8" x14ac:dyDescent="0.2">
      <c r="A61" s="14" t="s">
        <v>1086</v>
      </c>
      <c r="B61" s="14">
        <v>329470754</v>
      </c>
      <c r="C61" s="14" t="s">
        <v>293</v>
      </c>
      <c r="D61" s="14">
        <v>61.6</v>
      </c>
      <c r="E61" s="14">
        <v>77000000</v>
      </c>
      <c r="F61" s="14">
        <v>1250000</v>
      </c>
      <c r="G61" s="15">
        <v>46217</v>
      </c>
      <c r="H61" s="14" t="s">
        <v>1087</v>
      </c>
    </row>
    <row r="62" spans="1:8" x14ac:dyDescent="0.2">
      <c r="A62" s="14" t="s">
        <v>1086</v>
      </c>
      <c r="B62" s="14">
        <v>319264259</v>
      </c>
      <c r="C62" s="14" t="s">
        <v>525</v>
      </c>
      <c r="D62" s="14">
        <v>952</v>
      </c>
      <c r="E62" s="14">
        <v>2926619500</v>
      </c>
      <c r="F62" s="14">
        <v>3074180</v>
      </c>
      <c r="G62" s="15">
        <v>46217</v>
      </c>
      <c r="H62" s="14" t="s">
        <v>1087</v>
      </c>
    </row>
    <row r="63" spans="1:8" x14ac:dyDescent="0.2">
      <c r="A63" s="14" t="s">
        <v>1086</v>
      </c>
      <c r="B63" s="14">
        <v>331624680</v>
      </c>
      <c r="C63" s="14" t="s">
        <v>546</v>
      </c>
      <c r="D63" s="14">
        <v>242.7</v>
      </c>
      <c r="E63" s="14">
        <v>240000000</v>
      </c>
      <c r="F63" s="14">
        <v>988875</v>
      </c>
      <c r="G63" s="15">
        <v>46217</v>
      </c>
      <c r="H63" s="14" t="s">
        <v>1087</v>
      </c>
    </row>
    <row r="64" spans="1:8" x14ac:dyDescent="0.2">
      <c r="A64" s="14" t="s">
        <v>1086</v>
      </c>
      <c r="B64" s="14">
        <v>329528087</v>
      </c>
      <c r="C64" s="14" t="s">
        <v>65</v>
      </c>
      <c r="D64" s="14">
        <v>80</v>
      </c>
      <c r="E64" s="14">
        <v>63700000</v>
      </c>
      <c r="F64" s="14">
        <v>796250</v>
      </c>
      <c r="G64" s="15">
        <v>46217</v>
      </c>
      <c r="H64" s="14" t="s">
        <v>1087</v>
      </c>
    </row>
    <row r="65" spans="1:8" x14ac:dyDescent="0.2">
      <c r="A65" s="14" t="s">
        <v>1086</v>
      </c>
      <c r="B65" s="14">
        <v>169514704</v>
      </c>
      <c r="C65" s="14" t="s">
        <v>623</v>
      </c>
      <c r="D65" s="14">
        <v>90</v>
      </c>
      <c r="E65" s="14">
        <v>70000000</v>
      </c>
      <c r="F65" s="14">
        <v>777778</v>
      </c>
      <c r="G65" s="15">
        <v>46217</v>
      </c>
      <c r="H65" s="14" t="s">
        <v>1087</v>
      </c>
    </row>
    <row r="66" spans="1:8" x14ac:dyDescent="0.2">
      <c r="A66" s="14" t="s">
        <v>1086</v>
      </c>
      <c r="B66" s="14">
        <v>327903459</v>
      </c>
      <c r="C66" s="14" t="s">
        <v>198</v>
      </c>
      <c r="D66" s="14">
        <v>147</v>
      </c>
      <c r="E66" s="14">
        <v>168000000</v>
      </c>
      <c r="F66" s="14">
        <v>1142857</v>
      </c>
      <c r="G66" s="15">
        <v>46217</v>
      </c>
      <c r="H66" s="14" t="s">
        <v>1087</v>
      </c>
    </row>
    <row r="67" spans="1:8" x14ac:dyDescent="0.2">
      <c r="A67" s="14" t="s">
        <v>1086</v>
      </c>
      <c r="B67" s="14">
        <v>331327966</v>
      </c>
      <c r="C67" s="14" t="s">
        <v>233</v>
      </c>
      <c r="D67" s="14">
        <v>90</v>
      </c>
      <c r="E67" s="14">
        <v>80000000</v>
      </c>
      <c r="F67" s="14">
        <v>888889</v>
      </c>
      <c r="G67" s="15">
        <v>46217</v>
      </c>
      <c r="H67" s="14" t="s">
        <v>1087</v>
      </c>
    </row>
    <row r="68" spans="1:8" x14ac:dyDescent="0.2">
      <c r="A68" s="14" t="s">
        <v>1086</v>
      </c>
      <c r="B68" s="14">
        <v>325790081</v>
      </c>
      <c r="C68" s="14" t="s">
        <v>43</v>
      </c>
      <c r="D68" s="14">
        <v>219</v>
      </c>
      <c r="E68" s="14">
        <v>1320000000</v>
      </c>
      <c r="F68" s="14">
        <v>6027397</v>
      </c>
      <c r="G68" s="15">
        <v>46217</v>
      </c>
      <c r="H68" s="14" t="s">
        <v>1087</v>
      </c>
    </row>
    <row r="69" spans="1:8" x14ac:dyDescent="0.2">
      <c r="A69" s="14" t="s">
        <v>1086</v>
      </c>
      <c r="B69" s="14">
        <v>323390973</v>
      </c>
      <c r="C69" s="14" t="s">
        <v>201</v>
      </c>
      <c r="D69" s="14">
        <v>509</v>
      </c>
      <c r="E69" s="14">
        <v>1254265500</v>
      </c>
      <c r="F69" s="14">
        <v>2464176</v>
      </c>
      <c r="G69" s="15">
        <v>46217</v>
      </c>
      <c r="H69" s="14" t="s">
        <v>1087</v>
      </c>
    </row>
    <row r="70" spans="1:8" x14ac:dyDescent="0.2">
      <c r="A70" s="14" t="s">
        <v>1086</v>
      </c>
      <c r="B70" s="14">
        <v>322468426</v>
      </c>
      <c r="C70" s="14" t="s">
        <v>553</v>
      </c>
      <c r="D70" s="14">
        <v>125.8</v>
      </c>
      <c r="E70" s="14">
        <v>213860000</v>
      </c>
      <c r="F70" s="14">
        <v>1700000</v>
      </c>
      <c r="G70" s="15">
        <v>46217</v>
      </c>
      <c r="H70" s="14" t="s">
        <v>1087</v>
      </c>
    </row>
    <row r="71" spans="1:8" x14ac:dyDescent="0.2">
      <c r="A71" s="14" t="s">
        <v>1086</v>
      </c>
      <c r="B71" s="14">
        <v>328717365</v>
      </c>
      <c r="C71" s="14" t="s">
        <v>444</v>
      </c>
      <c r="D71" s="14">
        <v>152.69999999999999</v>
      </c>
      <c r="E71" s="14">
        <v>397000000</v>
      </c>
      <c r="F71" s="14">
        <v>2599869</v>
      </c>
      <c r="G71" s="15">
        <v>46217</v>
      </c>
      <c r="H71" s="14" t="s">
        <v>1087</v>
      </c>
    </row>
    <row r="72" spans="1:8" x14ac:dyDescent="0.2">
      <c r="A72" s="14" t="s">
        <v>1086</v>
      </c>
      <c r="B72" s="14">
        <v>328656333</v>
      </c>
      <c r="C72" s="14" t="s">
        <v>444</v>
      </c>
      <c r="D72" s="14">
        <v>185.3</v>
      </c>
      <c r="E72" s="14">
        <v>482000000</v>
      </c>
      <c r="F72" s="14">
        <v>2601187</v>
      </c>
      <c r="G72" s="15">
        <v>46217</v>
      </c>
      <c r="H72" s="14" t="s">
        <v>1087</v>
      </c>
    </row>
    <row r="73" spans="1:8" x14ac:dyDescent="0.2">
      <c r="A73" s="14" t="s">
        <v>1086</v>
      </c>
      <c r="B73" s="14">
        <v>331652410</v>
      </c>
      <c r="C73" s="14" t="s">
        <v>93</v>
      </c>
      <c r="D73" s="14">
        <v>100.9</v>
      </c>
      <c r="E73" s="14">
        <v>105000000</v>
      </c>
      <c r="F73" s="14">
        <v>1040634</v>
      </c>
      <c r="G73" s="15">
        <v>46217</v>
      </c>
      <c r="H73" s="14" t="s">
        <v>1087</v>
      </c>
    </row>
    <row r="74" spans="1:8" x14ac:dyDescent="0.2">
      <c r="A74" s="14" t="s">
        <v>1086</v>
      </c>
      <c r="B74" s="14">
        <v>322572339</v>
      </c>
      <c r="C74" s="14" t="s">
        <v>803</v>
      </c>
      <c r="D74" s="14">
        <v>46.5</v>
      </c>
      <c r="E74" s="14">
        <v>40850000</v>
      </c>
      <c r="F74" s="14">
        <v>878495</v>
      </c>
      <c r="G74" s="15">
        <v>46217</v>
      </c>
      <c r="H74" s="14" t="s">
        <v>1087</v>
      </c>
    </row>
    <row r="75" spans="1:8" x14ac:dyDescent="0.2">
      <c r="A75" s="14" t="s">
        <v>1086</v>
      </c>
      <c r="B75" s="14">
        <v>331362298</v>
      </c>
      <c r="C75" s="14" t="s">
        <v>667</v>
      </c>
      <c r="D75" s="14">
        <v>36.6</v>
      </c>
      <c r="E75" s="14">
        <v>37000000</v>
      </c>
      <c r="F75" s="14">
        <v>1010929</v>
      </c>
      <c r="G75" s="15">
        <v>46217</v>
      </c>
      <c r="H75" s="14" t="s">
        <v>1087</v>
      </c>
    </row>
    <row r="76" spans="1:8" x14ac:dyDescent="0.2">
      <c r="A76" s="14" t="s">
        <v>1086</v>
      </c>
      <c r="B76" s="14">
        <v>329735305</v>
      </c>
      <c r="C76" s="14" t="s">
        <v>191</v>
      </c>
      <c r="D76" s="14">
        <v>80</v>
      </c>
      <c r="E76" s="14">
        <v>75000000</v>
      </c>
      <c r="F76" s="14">
        <v>937500</v>
      </c>
      <c r="G76" s="15">
        <v>46217</v>
      </c>
      <c r="H76" s="14" t="s">
        <v>1087</v>
      </c>
    </row>
    <row r="77" spans="1:8" x14ac:dyDescent="0.2">
      <c r="A77" s="14" t="s">
        <v>1086</v>
      </c>
      <c r="B77" s="14">
        <v>330531897</v>
      </c>
      <c r="C77" s="14" t="s">
        <v>93</v>
      </c>
      <c r="D77" s="14">
        <v>61</v>
      </c>
      <c r="E77" s="14">
        <v>50500000</v>
      </c>
      <c r="F77" s="14">
        <v>827869</v>
      </c>
      <c r="G77" s="15">
        <v>46217</v>
      </c>
      <c r="H77" s="14" t="s">
        <v>1087</v>
      </c>
    </row>
    <row r="78" spans="1:8" x14ac:dyDescent="0.2">
      <c r="A78" s="14" t="s">
        <v>1086</v>
      </c>
      <c r="B78" s="14">
        <v>327884005</v>
      </c>
      <c r="C78" s="14" t="s">
        <v>109</v>
      </c>
      <c r="D78" s="14">
        <v>67.599999999999994</v>
      </c>
      <c r="E78" s="14">
        <v>65511212</v>
      </c>
      <c r="F78" s="14">
        <v>969101</v>
      </c>
      <c r="G78" s="15">
        <v>46217</v>
      </c>
      <c r="H78" s="14" t="s">
        <v>1087</v>
      </c>
    </row>
    <row r="79" spans="1:8" x14ac:dyDescent="0.2">
      <c r="A79" s="14" t="s">
        <v>1086</v>
      </c>
      <c r="B79" s="14">
        <v>331511140</v>
      </c>
      <c r="C79" s="14" t="s">
        <v>96</v>
      </c>
      <c r="D79" s="14">
        <v>112</v>
      </c>
      <c r="E79" s="14">
        <v>175000000</v>
      </c>
      <c r="F79" s="14">
        <v>1562500</v>
      </c>
      <c r="G79" s="15">
        <v>46217</v>
      </c>
      <c r="H79" s="14" t="s">
        <v>1087</v>
      </c>
    </row>
    <row r="80" spans="1:8" x14ac:dyDescent="0.2">
      <c r="A80" s="14" t="s">
        <v>1086</v>
      </c>
      <c r="B80" s="14">
        <v>325407789</v>
      </c>
      <c r="C80" s="14" t="s">
        <v>451</v>
      </c>
      <c r="D80" s="14">
        <v>137.4</v>
      </c>
      <c r="E80" s="14">
        <v>215000000</v>
      </c>
      <c r="F80" s="14">
        <v>1564774</v>
      </c>
      <c r="G80" s="15">
        <v>46217</v>
      </c>
      <c r="H80" s="14" t="s">
        <v>1087</v>
      </c>
    </row>
    <row r="81" spans="1:8" x14ac:dyDescent="0.2">
      <c r="A81" s="14" t="s">
        <v>1086</v>
      </c>
      <c r="B81" s="14">
        <v>326582339</v>
      </c>
      <c r="C81" s="14" t="s">
        <v>93</v>
      </c>
      <c r="D81" s="14">
        <v>61</v>
      </c>
      <c r="E81" s="14">
        <v>50500000</v>
      </c>
      <c r="F81" s="14">
        <v>827869</v>
      </c>
      <c r="G81" s="15">
        <v>46217</v>
      </c>
      <c r="H81" s="14" t="s">
        <v>1087</v>
      </c>
    </row>
    <row r="82" spans="1:8" x14ac:dyDescent="0.2">
      <c r="A82" s="14" t="s">
        <v>1086</v>
      </c>
      <c r="B82" s="14">
        <v>329101887</v>
      </c>
      <c r="C82" s="14" t="s">
        <v>649</v>
      </c>
      <c r="D82" s="14">
        <v>100</v>
      </c>
      <c r="E82" s="14">
        <v>100000000</v>
      </c>
      <c r="F82" s="14">
        <v>1000000</v>
      </c>
      <c r="G82" s="15">
        <v>46217</v>
      </c>
      <c r="H82" s="14" t="s">
        <v>1087</v>
      </c>
    </row>
    <row r="83" spans="1:8" x14ac:dyDescent="0.2">
      <c r="A83" s="14" t="s">
        <v>1086</v>
      </c>
      <c r="B83" s="14">
        <v>330531905</v>
      </c>
      <c r="C83" s="14" t="s">
        <v>880</v>
      </c>
      <c r="D83" s="14">
        <v>61</v>
      </c>
      <c r="E83" s="14">
        <v>40400000</v>
      </c>
      <c r="F83" s="14">
        <v>662295</v>
      </c>
      <c r="G83" s="15">
        <v>46217</v>
      </c>
      <c r="H83" s="14" t="s">
        <v>1087</v>
      </c>
    </row>
    <row r="84" spans="1:8" x14ac:dyDescent="0.2">
      <c r="A84" s="14" t="s">
        <v>1086</v>
      </c>
      <c r="B84" s="14">
        <v>328377077</v>
      </c>
      <c r="C84" s="14" t="s">
        <v>865</v>
      </c>
      <c r="D84" s="14">
        <v>81.7</v>
      </c>
      <c r="E84" s="14">
        <v>134805000</v>
      </c>
      <c r="F84" s="14">
        <v>1650000</v>
      </c>
      <c r="G84" s="15">
        <v>46217</v>
      </c>
      <c r="H84" s="14" t="s">
        <v>1087</v>
      </c>
    </row>
    <row r="85" spans="1:8" x14ac:dyDescent="0.2">
      <c r="A85" s="14" t="s">
        <v>1086</v>
      </c>
      <c r="B85" s="14">
        <v>329772068</v>
      </c>
      <c r="C85" s="14" t="s">
        <v>865</v>
      </c>
      <c r="D85" s="14">
        <v>123.5</v>
      </c>
      <c r="E85" s="14">
        <v>203775000</v>
      </c>
      <c r="F85" s="14">
        <v>1650000</v>
      </c>
      <c r="G85" s="15">
        <v>46217</v>
      </c>
      <c r="H85" s="14" t="s">
        <v>1087</v>
      </c>
    </row>
    <row r="86" spans="1:8" x14ac:dyDescent="0.2">
      <c r="A86" s="14" t="s">
        <v>1086</v>
      </c>
      <c r="B86" s="14">
        <v>331959129</v>
      </c>
      <c r="C86" s="14" t="s">
        <v>865</v>
      </c>
      <c r="D86" s="14">
        <v>165</v>
      </c>
      <c r="E86" s="14">
        <v>330000000</v>
      </c>
      <c r="F86" s="14">
        <v>2000000</v>
      </c>
      <c r="G86" s="15">
        <v>46217</v>
      </c>
      <c r="H86" s="14" t="s">
        <v>1087</v>
      </c>
    </row>
    <row r="87" spans="1:8" x14ac:dyDescent="0.2">
      <c r="A87" s="14" t="s">
        <v>1086</v>
      </c>
      <c r="B87" s="14">
        <v>328744011</v>
      </c>
      <c r="C87" s="14" t="s">
        <v>358</v>
      </c>
      <c r="D87" s="14">
        <v>231</v>
      </c>
      <c r="E87" s="14">
        <v>350000000</v>
      </c>
      <c r="F87" s="14">
        <v>1515152</v>
      </c>
      <c r="G87" s="15">
        <v>46217</v>
      </c>
      <c r="H87" s="14" t="s">
        <v>1087</v>
      </c>
    </row>
    <row r="88" spans="1:8" x14ac:dyDescent="0.2">
      <c r="A88" s="14" t="s">
        <v>1086</v>
      </c>
      <c r="B88" s="14">
        <v>330391459</v>
      </c>
      <c r="C88" s="14" t="s">
        <v>358</v>
      </c>
      <c r="D88" s="14">
        <v>1231</v>
      </c>
      <c r="E88" s="14">
        <v>2500000000</v>
      </c>
      <c r="F88" s="14">
        <v>2030869</v>
      </c>
      <c r="G88" s="15">
        <v>46217</v>
      </c>
      <c r="H88" s="14" t="s">
        <v>1087</v>
      </c>
    </row>
    <row r="89" spans="1:8" x14ac:dyDescent="0.2">
      <c r="A89" s="14" t="s">
        <v>1086</v>
      </c>
      <c r="B89" s="14">
        <v>331429971</v>
      </c>
      <c r="C89" s="14" t="s">
        <v>358</v>
      </c>
      <c r="D89" s="14">
        <v>106.8</v>
      </c>
      <c r="E89" s="14">
        <v>274000000</v>
      </c>
      <c r="F89" s="14">
        <v>2565543</v>
      </c>
      <c r="G89" s="15">
        <v>46217</v>
      </c>
      <c r="H89" s="14" t="s">
        <v>1087</v>
      </c>
    </row>
    <row r="90" spans="1:8" x14ac:dyDescent="0.2">
      <c r="A90" s="14" t="s">
        <v>1086</v>
      </c>
      <c r="B90" s="14">
        <v>330243352</v>
      </c>
      <c r="C90" s="14" t="s">
        <v>899</v>
      </c>
      <c r="D90" s="14">
        <v>86.2</v>
      </c>
      <c r="E90" s="14">
        <v>45000000</v>
      </c>
      <c r="F90" s="14">
        <v>522042</v>
      </c>
      <c r="G90" s="15">
        <v>46217</v>
      </c>
      <c r="H90" s="14" t="s">
        <v>1087</v>
      </c>
    </row>
    <row r="91" spans="1:8" x14ac:dyDescent="0.2">
      <c r="A91" s="14" t="s">
        <v>1086</v>
      </c>
      <c r="B91" s="14">
        <v>330542523</v>
      </c>
      <c r="C91" s="14" t="s">
        <v>910</v>
      </c>
      <c r="D91" s="14">
        <v>130</v>
      </c>
      <c r="E91" s="14">
        <v>85000000</v>
      </c>
      <c r="F91" s="14">
        <v>653846</v>
      </c>
      <c r="G91" s="15">
        <v>46217</v>
      </c>
      <c r="H91" s="14" t="s">
        <v>1087</v>
      </c>
    </row>
    <row r="92" spans="1:8" x14ac:dyDescent="0.2">
      <c r="A92" s="14" t="s">
        <v>1086</v>
      </c>
      <c r="B92" s="14">
        <v>325547166</v>
      </c>
      <c r="C92" s="14" t="s">
        <v>873</v>
      </c>
      <c r="D92" s="14">
        <v>30.4</v>
      </c>
      <c r="E92" s="14">
        <v>28000000</v>
      </c>
      <c r="F92" s="14">
        <v>921053</v>
      </c>
      <c r="G92" s="15">
        <v>46217</v>
      </c>
      <c r="H92" s="14" t="s">
        <v>1087</v>
      </c>
    </row>
    <row r="93" spans="1:8" x14ac:dyDescent="0.2">
      <c r="A93" s="14" t="s">
        <v>1086</v>
      </c>
      <c r="B93" s="14">
        <v>327541933</v>
      </c>
      <c r="C93" s="14" t="s">
        <v>865</v>
      </c>
      <c r="D93" s="14">
        <v>165</v>
      </c>
      <c r="E93" s="14">
        <v>330000000</v>
      </c>
      <c r="F93" s="14">
        <v>2000000</v>
      </c>
      <c r="G93" s="15">
        <v>46217</v>
      </c>
      <c r="H93" s="14" t="s">
        <v>1087</v>
      </c>
    </row>
    <row r="94" spans="1:8" x14ac:dyDescent="0.2">
      <c r="A94" s="14" t="s">
        <v>1086</v>
      </c>
      <c r="B94" s="14">
        <v>330166314</v>
      </c>
      <c r="C94" s="14" t="s">
        <v>358</v>
      </c>
      <c r="D94" s="14">
        <v>269.7</v>
      </c>
      <c r="E94" s="14">
        <v>428000000</v>
      </c>
      <c r="F94" s="14">
        <v>1586948</v>
      </c>
      <c r="G94" s="15">
        <v>46217</v>
      </c>
      <c r="H94" s="14" t="s">
        <v>1087</v>
      </c>
    </row>
    <row r="95" spans="1:8" x14ac:dyDescent="0.2">
      <c r="A95" s="14" t="s">
        <v>1086</v>
      </c>
      <c r="B95" s="14">
        <v>329278193</v>
      </c>
      <c r="C95" s="14" t="s">
        <v>358</v>
      </c>
      <c r="D95" s="14">
        <v>305.5</v>
      </c>
      <c r="E95" s="14">
        <v>392000000</v>
      </c>
      <c r="F95" s="14">
        <v>1283142</v>
      </c>
      <c r="G95" s="15">
        <v>46217</v>
      </c>
      <c r="H95" s="14" t="s">
        <v>1087</v>
      </c>
    </row>
    <row r="96" spans="1:8" x14ac:dyDescent="0.2">
      <c r="A96" s="14" t="s">
        <v>1086</v>
      </c>
      <c r="B96" s="14">
        <v>314331391</v>
      </c>
      <c r="C96" s="14" t="s">
        <v>873</v>
      </c>
      <c r="D96" s="14">
        <v>57.9</v>
      </c>
      <c r="E96" s="14">
        <v>32990000</v>
      </c>
      <c r="F96" s="14">
        <v>569775</v>
      </c>
      <c r="G96" s="15">
        <v>46217</v>
      </c>
      <c r="H96" s="14" t="s">
        <v>1087</v>
      </c>
    </row>
    <row r="97" spans="1:8" x14ac:dyDescent="0.2">
      <c r="A97" s="14" t="s">
        <v>1086</v>
      </c>
      <c r="B97" s="14">
        <v>316340180</v>
      </c>
      <c r="C97" s="14" t="s">
        <v>374</v>
      </c>
      <c r="D97" s="14">
        <v>73</v>
      </c>
      <c r="E97" s="14">
        <v>46220000</v>
      </c>
      <c r="F97" s="14">
        <v>633151</v>
      </c>
      <c r="G97" s="15">
        <v>46217</v>
      </c>
      <c r="H97" s="14" t="s">
        <v>1087</v>
      </c>
    </row>
    <row r="98" spans="1:8" x14ac:dyDescent="0.2">
      <c r="A98" s="14" t="s">
        <v>1086</v>
      </c>
      <c r="B98" s="14">
        <v>324301189</v>
      </c>
      <c r="C98" s="14" t="s">
        <v>355</v>
      </c>
      <c r="D98" s="14">
        <v>105</v>
      </c>
      <c r="E98" s="14">
        <v>65200000</v>
      </c>
      <c r="F98" s="14">
        <v>620952</v>
      </c>
      <c r="G98" s="15">
        <v>46217</v>
      </c>
      <c r="H98" s="14" t="s">
        <v>1087</v>
      </c>
    </row>
    <row r="99" spans="1:8" x14ac:dyDescent="0.2">
      <c r="A99" s="14" t="s">
        <v>1086</v>
      </c>
      <c r="B99" s="14">
        <v>312760289</v>
      </c>
      <c r="C99" s="14" t="s">
        <v>865</v>
      </c>
      <c r="D99" s="14">
        <v>61.2</v>
      </c>
      <c r="E99" s="14">
        <v>70000000</v>
      </c>
      <c r="F99" s="14">
        <v>1143791</v>
      </c>
      <c r="G99" s="15">
        <v>46217</v>
      </c>
      <c r="H99" s="14" t="s">
        <v>1087</v>
      </c>
    </row>
    <row r="100" spans="1:8" x14ac:dyDescent="0.2">
      <c r="A100" s="14" t="s">
        <v>1086</v>
      </c>
      <c r="B100" s="14">
        <v>330609783</v>
      </c>
      <c r="C100" s="14" t="s">
        <v>374</v>
      </c>
      <c r="D100" s="14">
        <v>68.5</v>
      </c>
      <c r="E100" s="14">
        <v>49000000</v>
      </c>
      <c r="F100" s="14">
        <v>715328</v>
      </c>
      <c r="G100" s="15">
        <v>46217</v>
      </c>
      <c r="H100" s="14" t="s">
        <v>1087</v>
      </c>
    </row>
    <row r="101" spans="1:8" x14ac:dyDescent="0.2">
      <c r="A101" s="14" t="s">
        <v>1086</v>
      </c>
      <c r="B101" s="14">
        <v>327754536</v>
      </c>
      <c r="C101" s="14" t="s">
        <v>367</v>
      </c>
      <c r="D101" s="14">
        <v>237.8</v>
      </c>
      <c r="E101" s="14">
        <v>204900000</v>
      </c>
      <c r="F101" s="14">
        <v>861648</v>
      </c>
      <c r="G101" s="15">
        <v>46217</v>
      </c>
      <c r="H101" s="14" t="s">
        <v>1087</v>
      </c>
    </row>
    <row r="102" spans="1:8" x14ac:dyDescent="0.2">
      <c r="A102" s="14" t="s">
        <v>1086</v>
      </c>
      <c r="B102" s="14">
        <v>330546211</v>
      </c>
      <c r="C102" s="14" t="s">
        <v>430</v>
      </c>
      <c r="D102" s="14">
        <v>179</v>
      </c>
      <c r="E102" s="14">
        <v>270000000</v>
      </c>
      <c r="F102" s="14">
        <v>1508380</v>
      </c>
      <c r="G102" s="15">
        <v>46217</v>
      </c>
      <c r="H102" s="14" t="s">
        <v>1087</v>
      </c>
    </row>
    <row r="103" spans="1:8" x14ac:dyDescent="0.2">
      <c r="A103" s="14" t="s">
        <v>1086</v>
      </c>
      <c r="B103" s="14">
        <v>331744996</v>
      </c>
      <c r="C103" s="14" t="s">
        <v>1011</v>
      </c>
      <c r="D103" s="14">
        <v>79.8</v>
      </c>
      <c r="E103" s="14">
        <v>55500000</v>
      </c>
      <c r="F103" s="14">
        <v>695489</v>
      </c>
      <c r="G103" s="15">
        <v>46217</v>
      </c>
      <c r="H103" s="14" t="s">
        <v>1087</v>
      </c>
    </row>
    <row r="104" spans="1:8" x14ac:dyDescent="0.2">
      <c r="A104" s="14" t="s">
        <v>1086</v>
      </c>
      <c r="B104" s="14">
        <v>330091005</v>
      </c>
      <c r="C104" s="14" t="s">
        <v>370</v>
      </c>
      <c r="D104" s="14">
        <v>20.350000000000001</v>
      </c>
      <c r="E104" s="14">
        <v>18500000</v>
      </c>
      <c r="F104" s="14">
        <v>909091</v>
      </c>
      <c r="G104" s="15">
        <v>46217</v>
      </c>
      <c r="H104" s="14" t="s">
        <v>1087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Offers_clean</vt:lpstr>
      <vt:lpstr>Legend_индексация</vt:lpstr>
      <vt:lpstr>Column_dictionary</vt:lpstr>
      <vt:lpstr>Removed_rows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Артур Федотов</cp:lastModifiedBy>
  <cp:revision>0</cp:revision>
  <dcterms:created xsi:type="dcterms:W3CDTF">2026-07-18T15:58:33Z</dcterms:created>
  <dcterms:modified xsi:type="dcterms:W3CDTF">2026-10-19T13:08:01Z</dcterms:modified>
  <dc:language>en-US</dc:language>
</cp:coreProperties>
</file>